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shboard" sheetId="2" state="visible" r:id="rId2"/>
    <sheet name="Products" sheetId="3" state="visible" r:id="rId3"/>
    <sheet name="Pricing Plans" sheetId="4" state="visible" r:id="rId4"/>
    <sheet name="Category Summary" sheetId="5" state="visible" r:id="rId5"/>
    <sheet name="Billing 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2F5496"/>
      <sz val="18"/>
    </font>
    <font>
      <name val="Arial"/>
      <color rgb="00595959"/>
      <sz val="10"/>
    </font>
    <font>
      <name val="Arial"/>
      <b val="1"/>
      <color rgb="002F5496"/>
      <sz val="2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Entry Price by Category (USD/month)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Summary'!D1</f>
            </strRef>
          </tx>
          <spPr>
            <a:ln>
              <a:prstDash val="solid"/>
            </a:ln>
          </spPr>
          <cat>
            <numRef>
              <f>'Category Summary'!$A$2:$A$29</f>
            </numRef>
          </cat>
          <val>
            <numRef>
              <f>'Category Summary'!$D$2:$D$29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Free-Tier Adoption Rate by Category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Summary'!F1</f>
            </strRef>
          </tx>
          <spPr>
            <a:ln>
              <a:prstDash val="solid"/>
            </a:ln>
          </spPr>
          <cat>
            <numRef>
              <f>'Category Summary'!$A$2:$A$29</f>
            </numRef>
          </cat>
          <val>
            <numRef>
              <f>'Category Summary'!$F$2:$F$29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Billing Model Mix (share of pricing plans)</a:t>
            </a:r>
          </a:p>
        </rich>
      </tx>
    </title>
    <plotArea>
      <pieChart>
        <varyColors val="1"/>
        <ser>
          <idx val="0"/>
          <order val="0"/>
          <tx>
            <strRef>
              <f>'Billing Models'!B1</f>
            </strRef>
          </tx>
          <spPr>
            <a:ln>
              <a:prstDash val="solid"/>
            </a:ln>
          </spPr>
          <cat>
            <numRef>
              <f>'Billing Models'!$A$2:$A$5</f>
            </numRef>
          </cat>
          <val>
            <numRef>
              <f>'Billing Models'!$B$2:$B$5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Rating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Summary'!C1</f>
            </strRef>
          </tx>
          <spPr>
            <a:ln>
              <a:prstDash val="solid"/>
            </a:ln>
          </spPr>
          <cat>
            <numRef>
              <f>'Category Summary'!$A$2:$A$29</f>
            </numRef>
          </cat>
          <val>
            <numRef>
              <f>'Category Summary'!$C$2:$C$29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sTable" displayName="ProductsTable" ref="A1:R332" headerRowCount="1">
  <autoFilter ref="A1:R332"/>
  <tableColumns count="18">
    <tableColumn id="1" name="product_id"/>
    <tableColumn id="2" name="name"/>
    <tableColumn id="3" name="category_slug"/>
    <tableColumn id="4" name="category_name"/>
    <tableColumn id="5" name="overall_rating"/>
    <tableColumn id="6" name="g2_rating"/>
    <tableColumn id="7" name="capterra_rating"/>
    <tableColumn id="8" name="founded_year"/>
    <tableColumn id="9" name="hq_location"/>
    <tableColumn id="10" name="has_free_tier"/>
    <tableColumn id="11" name="has_free_trial"/>
    <tableColumn id="12" name="has_custom_pricing"/>
    <tableColumn id="13" name="price_comparable"/>
    <tableColumn id="14" name="entry_price"/>
    <tableColumn id="15" name="max_price_monthly"/>
    <tableColumn id="16" name="plan_count"/>
    <tableColumn id="17" name="feature_count"/>
    <tableColumn id="18" name="website_url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PricingPlansTable" displayName="PricingPlansTable" ref="A1:F1014" headerRowCount="1">
  <autoFilter ref="A1:F1014"/>
  <tableColumns count="6">
    <tableColumn id="1" name="id"/>
    <tableColumn id="2" name="product_name"/>
    <tableColumn id="3" name="plan_name"/>
    <tableColumn id="4" name="price_monthly"/>
    <tableColumn id="5" name="price_annual"/>
    <tableColumn id="6" name="billing_model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CategorySummaryTable" displayName="CategorySummaryTable" ref="A1:G29" headerRowCount="1">
  <autoFilter ref="A1:G29"/>
  <tableColumns count="7">
    <tableColumn id="1" name="category_name"/>
    <tableColumn id="2" name="product_count"/>
    <tableColumn id="3" name="avg_rating"/>
    <tableColumn id="4" name="avg_entry_price"/>
    <tableColumn id="5" name="free_tier_count"/>
    <tableColumn id="6" name="free_tier_pct"/>
    <tableColumn id="7" name="avg_feature_count"/>
  </tableColumns>
  <tableStyleInfo name="TableStyleMedium2" showRowStripes="1"/>
</table>
</file>

<file path=xl/tables/table4.xml><?xml version="1.0" encoding="utf-8"?>
<table xmlns="http://schemas.openxmlformats.org/spreadsheetml/2006/main" id="4" name="BillingModelTable" displayName="BillingModelTable" ref="A1:C5" headerRowCount="1">
  <autoFilter ref="A1:C5"/>
  <tableColumns count="3">
    <tableColumn id="1" name="billing_model"/>
    <tableColumn id="2" name="plan_count"/>
    <tableColumn id="3" name="pct_of_pla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" t="inlineStr">
        <is>
          <t>SaaS Market 2026 — Pricing &amp; Positioning Analysis</t>
        </is>
      </c>
    </row>
    <row r="3">
      <c r="B3" s="2" t="inlineStr">
        <is>
          <t>Source: ComparEdge (Kaggle) — 331 SaaS products across 28 categories, snapshot dated 2026-04-27</t>
        </is>
      </c>
    </row>
    <row r="5">
      <c r="B5" s="3" t="inlineStr">
        <is>
          <t>Total Products</t>
        </is>
      </c>
      <c r="C5" s="3" t="inlineStr">
        <is>
          <t>Categories</t>
        </is>
      </c>
      <c r="D5" s="3" t="inlineStr">
        <is>
          <t>Median Entry Price</t>
        </is>
      </c>
      <c r="E5" s="3" t="inlineStr">
        <is>
          <t>% With Free Tier</t>
        </is>
      </c>
    </row>
    <row r="6">
      <c r="B6" s="4">
        <f>COUNTA(Products!B2:B332)</f>
        <v/>
      </c>
      <c r="C6" s="4">
        <f>COUNTA('Category Summary'!A2:A29)</f>
        <v/>
      </c>
      <c r="D6" s="4">
        <f>TEXT(MEDIAN(Products!S2:S332),"$0.00/mo")</f>
        <v/>
      </c>
      <c r="E6" s="4">
        <f>ROUND(COUNTIF(Products!J2:J332,TRUE)/COUNTA(Products!B2:B332)*100,1)&amp;"%"</f>
        <v/>
      </c>
    </row>
    <row r="9">
      <c r="B9" s="5" t="inlineStr">
        <is>
          <t>How to read this workbook</t>
        </is>
      </c>
    </row>
    <row r="10" ht="28" customHeight="1">
      <c r="B10" s="6" t="inlineStr">
        <is>
          <t>• Products — one row per SaaS product (cleaned from a SQLite relational export). 'entry_price_comparable' is a helper column used by every downstream formula.</t>
        </is>
      </c>
    </row>
    <row r="11" ht="28" customHeight="1">
      <c r="B11" s="6" t="inlineStr">
        <is>
          <t>• Pricing Plans — one row per pricing tier per product (1,013 total).</t>
        </is>
      </c>
    </row>
    <row r="12" ht="28" customHeight="1">
      <c r="B12" s="6" t="inlineStr">
        <is>
          <t>• Category Summary — category-level stats computed live with AVERAGEIF/COUNTIFS formulas against the Products sheet, not pasted-in numbers.</t>
        </is>
      </c>
    </row>
    <row r="13" ht="28" customHeight="1">
      <c r="B13" s="6" t="inlineStr">
        <is>
          <t>• Billing Models — mix of flat / per-seat / usage-based / per-project billing across all pricing plans.</t>
        </is>
      </c>
    </row>
    <row r="14" ht="28" customHeight="1">
      <c r="B14" s="6" t="inlineStr">
        <is>
          <t>• Dashboard — charts built from the Category Summary and Billing Models tables.</t>
        </is>
      </c>
    </row>
    <row r="17">
      <c r="B17" s="5" t="inlineStr">
        <is>
          <t>Known data quality issues (see sql/02_data_quality_checks.sql for detection queries)</t>
        </is>
      </c>
    </row>
    <row r="18" ht="28" customHeight="1">
      <c r="B18" s="6" t="inlineStr">
        <is>
          <t>• 'ai-tools' was a phantom umbrella category (104 products claimed, 0 actually tagged) — removed; the real AI products live in the ai-* subcategories + LLM.</t>
        </is>
      </c>
    </row>
    <row r="19" ht="28" customHeight="1">
      <c r="B19" s="6" t="inlineStr">
        <is>
          <t>• 'DEX' pricing_plans.price_monthly stores swap-fee percentages, not USD/month subscription prices — excluded from all price comparisons (price_comparable = FALSE).</t>
        </is>
      </c>
    </row>
    <row r="20" ht="28" customHeight="1">
      <c r="B20" s="6" t="inlineStr">
        <is>
          <t>• products.review_count is 0 for every row (unpopulated in the source data) — not used anywhere as a reliability signal.</t>
        </is>
      </c>
    </row>
    <row r="21" ht="28" customHeight="1">
      <c r="B21" s="6" t="inlineStr">
        <is>
          <t>• ~11 products have no overall_rating and ~89 have at least one custom/'Contact Sales' plan — both kept as-is (blank/N/A) rather than guessed at.</t>
        </is>
      </c>
    </row>
    <row r="22" ht="28" customHeight="1">
      <c r="B22" s="6" t="inlineStr">
        <is>
          <t>• A few category names were auto-titlecased acronyms ('Crm', 'Dex', 'Vpn') — corrected to CRM, DEX, VPN, DeFi Tools.</t>
        </is>
      </c>
    </row>
  </sheetData>
  <mergeCells count="10">
    <mergeCell ref="B19:G19"/>
    <mergeCell ref="B20:G20"/>
    <mergeCell ref="B10:G10"/>
    <mergeCell ref="B22:G22"/>
    <mergeCell ref="B14:G14"/>
    <mergeCell ref="B12:G12"/>
    <mergeCell ref="B13:G13"/>
    <mergeCell ref="B18:G18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SaaS Market 2026 —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24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30" customWidth="1" min="18" max="18"/>
    <col width="16" customWidth="1" min="19" max="19"/>
  </cols>
  <sheetData>
    <row r="1">
      <c r="A1" s="7" t="inlineStr">
        <is>
          <t>product_id</t>
        </is>
      </c>
      <c r="B1" s="7" t="inlineStr">
        <is>
          <t>name</t>
        </is>
      </c>
      <c r="C1" s="7" t="inlineStr">
        <is>
          <t>category_slug</t>
        </is>
      </c>
      <c r="D1" s="7" t="inlineStr">
        <is>
          <t>category_name</t>
        </is>
      </c>
      <c r="E1" s="7" t="inlineStr">
        <is>
          <t>overall_rating</t>
        </is>
      </c>
      <c r="F1" s="7" t="inlineStr">
        <is>
          <t>g2_rating</t>
        </is>
      </c>
      <c r="G1" s="7" t="inlineStr">
        <is>
          <t>capterra_rating</t>
        </is>
      </c>
      <c r="H1" s="7" t="inlineStr">
        <is>
          <t>founded_year</t>
        </is>
      </c>
      <c r="I1" s="7" t="inlineStr">
        <is>
          <t>hq_location</t>
        </is>
      </c>
      <c r="J1" s="7" t="inlineStr">
        <is>
          <t>has_free_tier</t>
        </is>
      </c>
      <c r="K1" s="7" t="inlineStr">
        <is>
          <t>has_free_trial</t>
        </is>
      </c>
      <c r="L1" s="7" t="inlineStr">
        <is>
          <t>has_custom_pricing</t>
        </is>
      </c>
      <c r="M1" s="7" t="inlineStr">
        <is>
          <t>price_comparable</t>
        </is>
      </c>
      <c r="N1" s="7" t="inlineStr">
        <is>
          <t>entry_price</t>
        </is>
      </c>
      <c r="O1" s="7" t="inlineStr">
        <is>
          <t>max_price_monthly</t>
        </is>
      </c>
      <c r="P1" s="7" t="inlineStr">
        <is>
          <t>plan_count</t>
        </is>
      </c>
      <c r="Q1" s="7" t="inlineStr">
        <is>
          <t>feature_count</t>
        </is>
      </c>
      <c r="R1" s="7" t="inlineStr">
        <is>
          <t>website_url</t>
        </is>
      </c>
      <c r="S1" s="8" t="inlineStr">
        <is>
          <t>entry_price_comparable</t>
        </is>
      </c>
    </row>
    <row r="2">
      <c r="A2" s="9" t="n">
        <v>67</v>
      </c>
      <c r="B2" s="9" t="inlineStr">
        <is>
          <t>10Web</t>
        </is>
      </c>
      <c r="C2" s="9" t="inlineStr">
        <is>
          <t>website-builders</t>
        </is>
      </c>
      <c r="D2" s="9" t="inlineStr">
        <is>
          <t>Website Builders</t>
        </is>
      </c>
      <c r="E2" s="9" t="n">
        <v>4.55</v>
      </c>
      <c r="F2" s="9" t="n">
        <v>4.6</v>
      </c>
      <c r="G2" s="9" t="n">
        <v>4.5</v>
      </c>
      <c r="H2" s="9" t="n">
        <v>2017</v>
      </c>
      <c r="I2" s="9" t="inlineStr">
        <is>
          <t>Yerevan, Armenia / Wilmington, DE</t>
        </is>
      </c>
      <c r="J2" s="9" t="b">
        <v>0</v>
      </c>
      <c r="K2" s="9" t="b">
        <v>0</v>
      </c>
      <c r="L2" s="9" t="b">
        <v>0</v>
      </c>
      <c r="M2" s="9" t="b">
        <v>1</v>
      </c>
      <c r="N2" s="9" t="n">
        <v>10</v>
      </c>
      <c r="O2" s="9" t="n">
        <v>60</v>
      </c>
      <c r="P2" s="9" t="n">
        <v>3</v>
      </c>
      <c r="Q2" s="9" t="n">
        <v>9</v>
      </c>
      <c r="R2" s="9" t="inlineStr">
        <is>
          <t>https://10web.io</t>
        </is>
      </c>
      <c r="S2">
        <f>IF(M2,N2,"")</f>
        <v/>
      </c>
    </row>
    <row r="3">
      <c r="A3" s="9" t="n">
        <v>157</v>
      </c>
      <c r="B3" s="9" t="inlineStr">
        <is>
          <t>1Password</t>
        </is>
      </c>
      <c r="C3" s="9" t="inlineStr">
        <is>
          <t>password-managers</t>
        </is>
      </c>
      <c r="D3" s="9" t="inlineStr">
        <is>
          <t>Password Managers</t>
        </is>
      </c>
      <c r="E3" s="9" t="n">
        <v>4.75</v>
      </c>
      <c r="F3" s="9" t="n">
        <v>4.8</v>
      </c>
      <c r="G3" s="9" t="n">
        <v>4.7</v>
      </c>
      <c r="H3" s="9" t="n">
        <v>2006</v>
      </c>
      <c r="I3" s="9" t="n">
        <v/>
      </c>
      <c r="J3" s="9" t="b">
        <v>0</v>
      </c>
      <c r="K3" s="9" t="b">
        <v>0</v>
      </c>
      <c r="L3" s="9" t="b">
        <v>0</v>
      </c>
      <c r="M3" s="9" t="b">
        <v>1</v>
      </c>
      <c r="N3" s="9" t="n">
        <v>2.99</v>
      </c>
      <c r="O3" s="9" t="n">
        <v>7.99</v>
      </c>
      <c r="P3" s="9" t="n">
        <v>3</v>
      </c>
      <c r="Q3" s="9" t="n">
        <v>14</v>
      </c>
      <c r="R3" s="9" t="inlineStr">
        <is>
          <t>https://1password.com</t>
        </is>
      </c>
      <c r="S3">
        <f>IF(M3,N3,"")</f>
        <v/>
      </c>
    </row>
    <row r="4">
      <c r="A4" s="9" t="n">
        <v>292</v>
      </c>
      <c r="B4" s="9" t="inlineStr">
        <is>
          <t>1inch</t>
        </is>
      </c>
      <c r="C4" s="9" t="inlineStr">
        <is>
          <t>defi-tools</t>
        </is>
      </c>
      <c r="D4" s="9" t="inlineStr">
        <is>
          <t>DeFi Tools</t>
        </is>
      </c>
      <c r="E4" s="9" t="n">
        <v>4.3</v>
      </c>
      <c r="F4" s="9" t="n">
        <v>4.3</v>
      </c>
      <c r="G4" s="9" t="n">
        <v/>
      </c>
      <c r="H4" s="9" t="n">
        <v>2019</v>
      </c>
      <c r="I4" s="9" t="inlineStr">
        <is>
          <t>Cayman Islands</t>
        </is>
      </c>
      <c r="J4" s="9" t="b">
        <v>1</v>
      </c>
      <c r="K4" s="9" t="b">
        <v>0</v>
      </c>
      <c r="L4" s="9" t="b">
        <v>0</v>
      </c>
      <c r="M4" s="9" t="b">
        <v>1</v>
      </c>
      <c r="N4" s="9" t="n">
        <v/>
      </c>
      <c r="O4" s="9" t="n">
        <v>0</v>
      </c>
      <c r="P4" s="9" t="n">
        <v>1</v>
      </c>
      <c r="Q4" s="9" t="n">
        <v>10</v>
      </c>
      <c r="R4" s="9" t="inlineStr">
        <is>
          <t>https://1inch.io</t>
        </is>
      </c>
      <c r="S4">
        <f>IF(M4,N4,"")</f>
        <v/>
      </c>
    </row>
    <row r="5">
      <c r="A5" s="9" t="n">
        <v>265</v>
      </c>
      <c r="B5" s="9" t="inlineStr">
        <is>
          <t>3Commas</t>
        </is>
      </c>
      <c r="C5" s="9" t="inlineStr">
        <is>
          <t>crypto-trading-bots</t>
        </is>
      </c>
      <c r="D5" s="9" t="inlineStr">
        <is>
          <t>Crypto Trading Bots</t>
        </is>
      </c>
      <c r="E5" s="9" t="n">
        <v>4.25</v>
      </c>
      <c r="F5" s="9" t="n">
        <v>4.3</v>
      </c>
      <c r="G5" s="9" t="n">
        <v>4.2</v>
      </c>
      <c r="H5" s="9" t="n">
        <v>2017</v>
      </c>
      <c r="I5" s="9" t="inlineStr">
        <is>
          <t>Tallinn, Estonia</t>
        </is>
      </c>
      <c r="J5" s="9" t="b">
        <v>1</v>
      </c>
      <c r="K5" s="9" t="b">
        <v>0</v>
      </c>
      <c r="L5" s="9" t="b">
        <v>0</v>
      </c>
      <c r="M5" s="9" t="b">
        <v>1</v>
      </c>
      <c r="N5" s="9" t="n">
        <v>15</v>
      </c>
      <c r="O5" s="9" t="n">
        <v>60</v>
      </c>
      <c r="P5" s="9" t="n">
        <v>4</v>
      </c>
      <c r="Q5" s="9" t="n">
        <v>12</v>
      </c>
      <c r="R5" s="9" t="inlineStr">
        <is>
          <t>https://3commas.io</t>
        </is>
      </c>
      <c r="S5">
        <f>IF(M5,N5,"")</f>
        <v/>
      </c>
    </row>
    <row r="6">
      <c r="A6" s="9" t="n">
        <v>87</v>
      </c>
      <c r="B6" s="9" t="inlineStr">
        <is>
          <t>A2 Hosting</t>
        </is>
      </c>
      <c r="C6" s="9" t="inlineStr">
        <is>
          <t>cloud-hosting</t>
        </is>
      </c>
      <c r="D6" s="9" t="inlineStr">
        <is>
          <t>Cloud Hosting</t>
        </is>
      </c>
      <c r="E6" s="9" t="n">
        <v>4.35</v>
      </c>
      <c r="F6" s="9" t="n">
        <v>4.3</v>
      </c>
      <c r="G6" s="9" t="n">
        <v>4.4</v>
      </c>
      <c r="H6" s="9" t="n">
        <v>2003</v>
      </c>
      <c r="I6" s="9" t="inlineStr">
        <is>
          <t>Ann Arbor, MI</t>
        </is>
      </c>
      <c r="J6" s="9" t="b">
        <v>0</v>
      </c>
      <c r="K6" s="9" t="b">
        <v>0</v>
      </c>
      <c r="L6" s="9" t="b">
        <v>0</v>
      </c>
      <c r="M6" s="9" t="b">
        <v>1</v>
      </c>
      <c r="N6" s="9" t="n">
        <v>2.99</v>
      </c>
      <c r="O6" s="9" t="n">
        <v>14.99</v>
      </c>
      <c r="P6" s="9" t="n">
        <v>4</v>
      </c>
      <c r="Q6" s="9" t="n">
        <v>9</v>
      </c>
      <c r="R6" s="9" t="inlineStr">
        <is>
          <t>https://www.a2hosting.com</t>
        </is>
      </c>
      <c r="S6">
        <f>IF(M6,N6,"")</f>
        <v/>
      </c>
    </row>
    <row r="7">
      <c r="A7" s="9" t="n">
        <v>196</v>
      </c>
      <c r="B7" s="9" t="inlineStr">
        <is>
          <t>AI21 Studio</t>
        </is>
      </c>
      <c r="C7" s="9" t="inlineStr">
        <is>
          <t>ai-writing</t>
        </is>
      </c>
      <c r="D7" s="9" t="inlineStr">
        <is>
          <t>AI Writing</t>
        </is>
      </c>
      <c r="E7" s="9" t="n">
        <v>4.35</v>
      </c>
      <c r="F7" s="9" t="n">
        <v>4.4</v>
      </c>
      <c r="G7" s="9" t="n">
        <v>4.3</v>
      </c>
      <c r="H7" s="9" t="n">
        <v>2017</v>
      </c>
      <c r="I7" s="9" t="n">
        <v/>
      </c>
      <c r="J7" s="9" t="b">
        <v>1</v>
      </c>
      <c r="K7" s="9" t="b">
        <v>0</v>
      </c>
      <c r="L7" s="9" t="b">
        <v>1</v>
      </c>
      <c r="M7" s="9" t="b">
        <v>1</v>
      </c>
      <c r="N7" s="9" t="n">
        <v>39</v>
      </c>
      <c r="O7" s="9" t="n">
        <v>39</v>
      </c>
      <c r="P7" s="9" t="n">
        <v>3</v>
      </c>
      <c r="Q7" s="9" t="n">
        <v>6</v>
      </c>
      <c r="R7" s="9" t="inlineStr">
        <is>
          <t>https://studio.ai21.com</t>
        </is>
      </c>
      <c r="S7">
        <f>IF(M7,N7,"")</f>
        <v/>
      </c>
    </row>
    <row r="8">
      <c r="A8" s="9" t="n">
        <v>43</v>
      </c>
      <c r="B8" s="9" t="inlineStr">
        <is>
          <t>AWeber</t>
        </is>
      </c>
      <c r="C8" s="9" t="inlineStr">
        <is>
          <t>email-marketing</t>
        </is>
      </c>
      <c r="D8" s="9" t="inlineStr">
        <is>
          <t>Email Marketing</t>
        </is>
      </c>
      <c r="E8" s="9" t="n">
        <v>4.3</v>
      </c>
      <c r="F8" s="9" t="n">
        <v>4.2</v>
      </c>
      <c r="G8" s="9" t="n">
        <v>4.4</v>
      </c>
      <c r="H8" s="9" t="n">
        <v>1998</v>
      </c>
      <c r="I8" s="9" t="inlineStr">
        <is>
          <t>Chalfont, PA</t>
        </is>
      </c>
      <c r="J8" s="9" t="b">
        <v>1</v>
      </c>
      <c r="K8" s="9" t="b">
        <v>0</v>
      </c>
      <c r="L8" s="9" t="b">
        <v>0</v>
      </c>
      <c r="M8" s="9" t="b">
        <v>1</v>
      </c>
      <c r="N8" s="9" t="n">
        <v>14.99</v>
      </c>
      <c r="O8" s="9" t="n">
        <v>899</v>
      </c>
      <c r="P8" s="9" t="n">
        <v>4</v>
      </c>
      <c r="Q8" s="9" t="n">
        <v>12</v>
      </c>
      <c r="R8" s="9" t="inlineStr">
        <is>
          <t>https://www.aweber.com</t>
        </is>
      </c>
      <c r="S8">
        <f>IF(M8,N8,"")</f>
        <v/>
      </c>
    </row>
    <row r="9">
      <c r="A9" s="9" t="n">
        <v>286</v>
      </c>
      <c r="B9" s="9" t="inlineStr">
        <is>
          <t>Accointing (Blockpit)</t>
        </is>
      </c>
      <c r="C9" s="9" t="inlineStr">
        <is>
          <t>crypto-tax</t>
        </is>
      </c>
      <c r="D9" s="9" t="inlineStr">
        <is>
          <t>Crypto Tax</t>
        </is>
      </c>
      <c r="E9" s="9" t="n">
        <v>4.1</v>
      </c>
      <c r="F9" s="9" t="n">
        <v>4.1</v>
      </c>
      <c r="G9" s="9" t="n">
        <v/>
      </c>
      <c r="H9" s="9" t="n">
        <v>2017</v>
      </c>
      <c r="I9" s="9" t="inlineStr">
        <is>
          <t>Vienna, Austria</t>
        </is>
      </c>
      <c r="J9" s="9" t="b">
        <v>1</v>
      </c>
      <c r="K9" s="9" t="b">
        <v>0</v>
      </c>
      <c r="L9" s="9" t="b">
        <v>0</v>
      </c>
      <c r="M9" s="9" t="b">
        <v>1</v>
      </c>
      <c r="N9" s="9" t="n">
        <v>49</v>
      </c>
      <c r="O9" s="9" t="n">
        <v>199</v>
      </c>
      <c r="P9" s="9" t="n">
        <v>4</v>
      </c>
      <c r="Q9" s="9" t="n">
        <v>6</v>
      </c>
      <c r="R9" s="9" t="inlineStr">
        <is>
          <t>https://www.blockpit.io</t>
        </is>
      </c>
      <c r="S9">
        <f>IF(M9,N9,"")</f>
        <v/>
      </c>
    </row>
    <row r="10">
      <c r="A10" s="9" t="n">
        <v>39</v>
      </c>
      <c r="B10" s="9" t="inlineStr">
        <is>
          <t>ActiveCampaign</t>
        </is>
      </c>
      <c r="C10" s="9" t="inlineStr">
        <is>
          <t>email-marketing</t>
        </is>
      </c>
      <c r="D10" s="9" t="inlineStr">
        <is>
          <t>Email Marketing</t>
        </is>
      </c>
      <c r="E10" s="9" t="n">
        <v>4.55</v>
      </c>
      <c r="F10" s="9" t="n">
        <v>4.5</v>
      </c>
      <c r="G10" s="9" t="n">
        <v>4.6</v>
      </c>
      <c r="H10" s="9" t="n">
        <v>2003</v>
      </c>
      <c r="I10" s="9" t="inlineStr">
        <is>
          <t>Chicago, IL</t>
        </is>
      </c>
      <c r="J10" s="9" t="b">
        <v>0</v>
      </c>
      <c r="K10" s="9" t="b">
        <v>0</v>
      </c>
      <c r="L10" s="9" t="b">
        <v>0</v>
      </c>
      <c r="M10" s="9" t="b">
        <v>1</v>
      </c>
      <c r="N10" s="9" t="n">
        <v>15</v>
      </c>
      <c r="O10" s="9" t="n">
        <v>145</v>
      </c>
      <c r="P10" s="9" t="n">
        <v>4</v>
      </c>
      <c r="Q10" s="9" t="n">
        <v>17</v>
      </c>
      <c r="R10" s="9" t="inlineStr">
        <is>
          <t>https://www.activecampaign.com</t>
        </is>
      </c>
      <c r="S10">
        <f>IF(M10,N10,"")</f>
        <v/>
      </c>
    </row>
    <row r="11">
      <c r="A11" s="9" t="n">
        <v>170</v>
      </c>
      <c r="B11" s="9" t="inlineStr">
        <is>
          <t>Adobe Firefly</t>
        </is>
      </c>
      <c r="C11" s="9" t="inlineStr">
        <is>
          <t>ai-image</t>
        </is>
      </c>
      <c r="D11" s="9" t="inlineStr">
        <is>
          <t>AI Image Generators</t>
        </is>
      </c>
      <c r="E11" s="9" t="n">
        <v>4.45</v>
      </c>
      <c r="F11" s="9" t="n">
        <v>4.4</v>
      </c>
      <c r="G11" s="9" t="n">
        <v>4.5</v>
      </c>
      <c r="H11" s="9" t="n">
        <v>2023</v>
      </c>
      <c r="I11" s="9" t="n">
        <v/>
      </c>
      <c r="J11" s="9" t="b">
        <v>1</v>
      </c>
      <c r="K11" s="9" t="b">
        <v>0</v>
      </c>
      <c r="L11" s="9" t="b">
        <v>0</v>
      </c>
      <c r="M11" s="9" t="b">
        <v>1</v>
      </c>
      <c r="N11" s="9" t="n">
        <v>5</v>
      </c>
      <c r="O11" s="9" t="n">
        <v>5</v>
      </c>
      <c r="P11" s="9" t="n">
        <v>2</v>
      </c>
      <c r="Q11" s="9" t="n">
        <v>5</v>
      </c>
      <c r="R11" s="9" t="inlineStr">
        <is>
          <t>https://firefly.adobe.com</t>
        </is>
      </c>
      <c r="S11">
        <f>IF(M11,N11,"")</f>
        <v/>
      </c>
    </row>
    <row r="12">
      <c r="A12" s="9" t="n">
        <v>98</v>
      </c>
      <c r="B12" s="9" t="inlineStr">
        <is>
          <t>Adobe Illustrator</t>
        </is>
      </c>
      <c r="C12" s="9" t="inlineStr">
        <is>
          <t>design-tools</t>
        </is>
      </c>
      <c r="D12" s="9" t="inlineStr">
        <is>
          <t>Design Tools</t>
        </is>
      </c>
      <c r="E12" s="9" t="n">
        <v>4.65</v>
      </c>
      <c r="F12" s="9" t="n">
        <v>4.6</v>
      </c>
      <c r="G12" s="9" t="n">
        <v>4.7</v>
      </c>
      <c r="H12" s="9" t="n">
        <v>1987</v>
      </c>
      <c r="I12" s="9" t="inlineStr">
        <is>
          <t>San Jose, CA (Adobe)</t>
        </is>
      </c>
      <c r="J12" s="9" t="b">
        <v>0</v>
      </c>
      <c r="K12" s="9" t="b">
        <v>0</v>
      </c>
      <c r="L12" s="9" t="b">
        <v>0</v>
      </c>
      <c r="M12" s="9" t="b">
        <v>1</v>
      </c>
      <c r="N12" s="9" t="n">
        <v>22.99</v>
      </c>
      <c r="O12" s="9" t="n">
        <v>59.99</v>
      </c>
      <c r="P12" s="9" t="n">
        <v>2</v>
      </c>
      <c r="Q12" s="9" t="n">
        <v>6</v>
      </c>
      <c r="R12" s="9" t="inlineStr">
        <is>
          <t>https://www.adobe.com/products/illustrator.html</t>
        </is>
      </c>
      <c r="S12">
        <f>IF(M12,N12,"")</f>
        <v/>
      </c>
    </row>
    <row r="13">
      <c r="A13" s="9" t="n">
        <v>99</v>
      </c>
      <c r="B13" s="9" t="inlineStr">
        <is>
          <t>Adobe Photoshop</t>
        </is>
      </c>
      <c r="C13" s="9" t="inlineStr">
        <is>
          <t>design-tools</t>
        </is>
      </c>
      <c r="D13" s="9" t="inlineStr">
        <is>
          <t>Design Tools</t>
        </is>
      </c>
      <c r="E13" s="9" t="n">
        <v>4.7</v>
      </c>
      <c r="F13" s="9" t="n">
        <v>4.6</v>
      </c>
      <c r="G13" s="9" t="n">
        <v>4.8</v>
      </c>
      <c r="H13" s="9" t="n">
        <v>1990</v>
      </c>
      <c r="I13" s="9" t="inlineStr">
        <is>
          <t>San Jose, CA (Adobe)</t>
        </is>
      </c>
      <c r="J13" s="9" t="b">
        <v>0</v>
      </c>
      <c r="K13" s="9" t="b">
        <v>0</v>
      </c>
      <c r="L13" s="9" t="b">
        <v>0</v>
      </c>
      <c r="M13" s="9" t="b">
        <v>1</v>
      </c>
      <c r="N13" s="9" t="n">
        <v>9.99</v>
      </c>
      <c r="O13" s="9" t="n">
        <v>59.99</v>
      </c>
      <c r="P13" s="9" t="n">
        <v>3</v>
      </c>
      <c r="Q13" s="9" t="n">
        <v>8</v>
      </c>
      <c r="R13" s="9" t="inlineStr">
        <is>
          <t>https://www.adobe.com/products/photoshop.html</t>
        </is>
      </c>
      <c r="S13">
        <f>IF(M13,N13,"")</f>
        <v/>
      </c>
    </row>
    <row r="14">
      <c r="A14" s="9" t="n">
        <v>222</v>
      </c>
      <c r="B14" s="9" t="inlineStr">
        <is>
          <t>Adobe Podcast (Enhance)</t>
        </is>
      </c>
      <c r="C14" s="9" t="inlineStr">
        <is>
          <t>ai-voice</t>
        </is>
      </c>
      <c r="D14" s="9" t="inlineStr">
        <is>
          <t>AI Voice &amp; Audio</t>
        </is>
      </c>
      <c r="E14" s="9" t="n">
        <v>4.6</v>
      </c>
      <c r="F14" s="9" t="n">
        <v>4.6</v>
      </c>
      <c r="G14" s="9" t="n">
        <v>4.6</v>
      </c>
      <c r="H14" s="9" t="n">
        <v>2022</v>
      </c>
      <c r="I14" s="9" t="n">
        <v/>
      </c>
      <c r="J14" s="9" t="b">
        <v>1</v>
      </c>
      <c r="K14" s="9" t="b">
        <v>0</v>
      </c>
      <c r="L14" s="9" t="b">
        <v>0</v>
      </c>
      <c r="M14" s="9" t="b">
        <v>1</v>
      </c>
      <c r="N14" s="9" t="n">
        <v>5</v>
      </c>
      <c r="O14" s="9" t="n">
        <v>5</v>
      </c>
      <c r="P14" s="9" t="n">
        <v>2</v>
      </c>
      <c r="Q14" s="9" t="n">
        <v>4</v>
      </c>
      <c r="R14" s="9" t="inlineStr">
        <is>
          <t>https://podcast.adobe.com</t>
        </is>
      </c>
      <c r="S14">
        <f>IF(M14,N14,"")</f>
        <v/>
      </c>
    </row>
    <row r="15">
      <c r="A15" s="9" t="n">
        <v>93</v>
      </c>
      <c r="B15" s="9" t="inlineStr">
        <is>
          <t>Adobe XD</t>
        </is>
      </c>
      <c r="C15" s="9" t="inlineStr">
        <is>
          <t>design-tools</t>
        </is>
      </c>
      <c r="D15" s="9" t="inlineStr">
        <is>
          <t>Design Tools</t>
        </is>
      </c>
      <c r="E15" s="9" t="n">
        <v>4.4</v>
      </c>
      <c r="F15" s="9" t="n">
        <v>4.3</v>
      </c>
      <c r="G15" s="9" t="n">
        <v>4.5</v>
      </c>
      <c r="H15" s="9" t="n">
        <v>2016</v>
      </c>
      <c r="I15" s="9" t="inlineStr">
        <is>
          <t>San Jose, CA (Adobe)</t>
        </is>
      </c>
      <c r="J15" s="9" t="b">
        <v>0</v>
      </c>
      <c r="K15" s="9" t="b">
        <v>0</v>
      </c>
      <c r="L15" s="9" t="b">
        <v>0</v>
      </c>
      <c r="M15" s="9" t="b">
        <v>1</v>
      </c>
      <c r="N15" s="9" t="n">
        <v>59.99</v>
      </c>
      <c r="O15" s="9" t="n">
        <v>59.99</v>
      </c>
      <c r="P15" s="9" t="n">
        <v>1</v>
      </c>
      <c r="Q15" s="9" t="n">
        <v>14</v>
      </c>
      <c r="R15" s="9" t="inlineStr">
        <is>
          <t>https://www.adobe.com/products/xd.html</t>
        </is>
      </c>
      <c r="S15">
        <f>IF(M15,N15,"")</f>
        <v/>
      </c>
    </row>
    <row r="16">
      <c r="A16" s="9" t="n">
        <v>97</v>
      </c>
      <c r="B16" s="9" t="inlineStr">
        <is>
          <t>Affinity Designer</t>
        </is>
      </c>
      <c r="C16" s="9" t="inlineStr">
        <is>
          <t>design-tools</t>
        </is>
      </c>
      <c r="D16" s="9" t="inlineStr">
        <is>
          <t>Design Tools</t>
        </is>
      </c>
      <c r="E16" s="9" t="n">
        <v>4.6</v>
      </c>
      <c r="F16" s="9" t="n">
        <v>4.5</v>
      </c>
      <c r="G16" s="9" t="n">
        <v>4.7</v>
      </c>
      <c r="H16" s="9" t="n">
        <v>2014</v>
      </c>
      <c r="I16" s="9" t="inlineStr">
        <is>
          <t>Nottingham, UK (Canva)</t>
        </is>
      </c>
      <c r="J16" s="9" t="b">
        <v>0</v>
      </c>
      <c r="K16" s="9" t="b">
        <v>0</v>
      </c>
      <c r="L16" s="9" t="b">
        <v>0</v>
      </c>
      <c r="M16" s="9" t="b">
        <v>1</v>
      </c>
      <c r="N16" s="9" t="n">
        <v>14.99</v>
      </c>
      <c r="O16" s="9" t="n">
        <v>169.99</v>
      </c>
      <c r="P16" s="9" t="n">
        <v>3</v>
      </c>
      <c r="Q16" s="9" t="n">
        <v>6</v>
      </c>
      <c r="R16" s="9" t="inlineStr">
        <is>
          <t>https://affinity.serif.com/en-us/designer/</t>
        </is>
      </c>
      <c r="S16">
        <f>IF(M16,N16,"")</f>
        <v/>
      </c>
    </row>
    <row r="17">
      <c r="A17" s="9" t="n">
        <v>14</v>
      </c>
      <c r="B17" s="9" t="inlineStr">
        <is>
          <t>Airtable</t>
        </is>
      </c>
      <c r="C17" s="9" t="inlineStr">
        <is>
          <t>project-management</t>
        </is>
      </c>
      <c r="D17" s="9" t="inlineStr">
        <is>
          <t>Project Management</t>
        </is>
      </c>
      <c r="E17" s="9" t="n">
        <v>4.65</v>
      </c>
      <c r="F17" s="9" t="n">
        <v>4.6</v>
      </c>
      <c r="G17" s="9" t="n">
        <v>4.7</v>
      </c>
      <c r="H17" s="9" t="n">
        <v>2012</v>
      </c>
      <c r="I17" s="9" t="inlineStr">
        <is>
          <t>San Francisco, CA</t>
        </is>
      </c>
      <c r="J17" s="9" t="b">
        <v>1</v>
      </c>
      <c r="K17" s="9" t="b">
        <v>0</v>
      </c>
      <c r="L17" s="9" t="b">
        <v>1</v>
      </c>
      <c r="M17" s="9" t="b">
        <v>1</v>
      </c>
      <c r="N17" s="9" t="n">
        <v>20</v>
      </c>
      <c r="O17" s="9" t="n">
        <v>45</v>
      </c>
      <c r="P17" s="9" t="n">
        <v>4</v>
      </c>
      <c r="Q17" s="9" t="n">
        <v>13</v>
      </c>
      <c r="R17" s="9" t="inlineStr">
        <is>
          <t>https://airtable.com</t>
        </is>
      </c>
      <c r="S17">
        <f>IF(M17,N17,"")</f>
        <v/>
      </c>
    </row>
    <row r="18">
      <c r="A18" s="9" t="n">
        <v>118</v>
      </c>
      <c r="B18" s="9" t="inlineStr">
        <is>
          <t>Akaunting</t>
        </is>
      </c>
      <c r="C18" s="9" t="inlineStr">
        <is>
          <t>accounting</t>
        </is>
      </c>
      <c r="D18" s="9" t="inlineStr">
        <is>
          <t>Accounting</t>
        </is>
      </c>
      <c r="E18" s="9" t="n">
        <v>4.3</v>
      </c>
      <c r="F18" s="9" t="n">
        <v>4.2</v>
      </c>
      <c r="G18" s="9" t="n">
        <v>4.4</v>
      </c>
      <c r="H18" s="9" t="n">
        <v>2017</v>
      </c>
      <c r="I18" s="9" t="inlineStr">
        <is>
          <t>London, UK</t>
        </is>
      </c>
      <c r="J18" s="9" t="b">
        <v>1</v>
      </c>
      <c r="K18" s="9" t="b">
        <v>0</v>
      </c>
      <c r="L18" s="9" t="b">
        <v>0</v>
      </c>
      <c r="M18" s="9" t="b">
        <v>1</v>
      </c>
      <c r="N18" s="9" t="n">
        <v>15</v>
      </c>
      <c r="O18" s="9" t="n">
        <v>15</v>
      </c>
      <c r="P18" s="9" t="n">
        <v>2</v>
      </c>
      <c r="Q18" s="9" t="n">
        <v>13</v>
      </c>
      <c r="R18" s="9" t="inlineStr">
        <is>
          <t>https://akaunting.com</t>
        </is>
      </c>
      <c r="S18">
        <f>IF(M18,N18,"")</f>
        <v/>
      </c>
    </row>
    <row r="19">
      <c r="A19" s="9" t="n">
        <v>272</v>
      </c>
      <c r="B19" s="9" t="inlineStr">
        <is>
          <t>Altrady</t>
        </is>
      </c>
      <c r="C19" s="9" t="inlineStr">
        <is>
          <t>crypto-trading-bots</t>
        </is>
      </c>
      <c r="D19" s="9" t="inlineStr">
        <is>
          <t>Crypto Trading Bots</t>
        </is>
      </c>
      <c r="E19" s="9" t="n">
        <v>4.2</v>
      </c>
      <c r="F19" s="9" t="n">
        <v>4.2</v>
      </c>
      <c r="G19" s="9" t="n">
        <v/>
      </c>
      <c r="H19" s="9" t="n">
        <v>2018</v>
      </c>
      <c r="I19" s="9" t="inlineStr">
        <is>
          <t>Amsterdam, Netherlands</t>
        </is>
      </c>
      <c r="J19" s="9" t="b">
        <v>1</v>
      </c>
      <c r="K19" s="9" t="b">
        <v>0</v>
      </c>
      <c r="L19" s="9" t="b">
        <v>0</v>
      </c>
      <c r="M19" s="9" t="b">
        <v>1</v>
      </c>
      <c r="N19" s="9" t="n">
        <v>19</v>
      </c>
      <c r="O19" s="9" t="n">
        <v>55</v>
      </c>
      <c r="P19" s="9" t="n">
        <v>4</v>
      </c>
      <c r="Q19" s="9" t="n">
        <v>9</v>
      </c>
      <c r="R19" s="9" t="inlineStr">
        <is>
          <t>https://altrady.com</t>
        </is>
      </c>
      <c r="S19">
        <f>IF(M19,N19,"")</f>
        <v/>
      </c>
    </row>
    <row r="20">
      <c r="A20" s="9" t="n">
        <v>71</v>
      </c>
      <c r="B20" s="9" t="inlineStr">
        <is>
          <t>Amazon Web Services (AWS)</t>
        </is>
      </c>
      <c r="C20" s="9" t="inlineStr">
        <is>
          <t>cloud-hosting</t>
        </is>
      </c>
      <c r="D20" s="9" t="inlineStr">
        <is>
          <t>Cloud Hosting</t>
        </is>
      </c>
      <c r="E20" s="9" t="n">
        <v>4.55</v>
      </c>
      <c r="F20" s="9" t="n">
        <v>4.5</v>
      </c>
      <c r="G20" s="9" t="n">
        <v>4.6</v>
      </c>
      <c r="H20" s="9" t="n">
        <v>2006</v>
      </c>
      <c r="I20" s="9" t="inlineStr">
        <is>
          <t>Seattle, WA</t>
        </is>
      </c>
      <c r="J20" s="9" t="b">
        <v>1</v>
      </c>
      <c r="K20" s="9" t="b">
        <v>0</v>
      </c>
      <c r="L20" s="9" t="b">
        <v>1</v>
      </c>
      <c r="M20" s="9" t="b">
        <v>1</v>
      </c>
      <c r="N20" s="9" t="n">
        <v/>
      </c>
      <c r="O20" s="9" t="n">
        <v>0</v>
      </c>
      <c r="P20" s="9" t="n">
        <v>2</v>
      </c>
      <c r="Q20" s="9" t="n">
        <v>19</v>
      </c>
      <c r="R20" s="9" t="inlineStr">
        <is>
          <t>https://aws.amazon.com</t>
        </is>
      </c>
      <c r="S20">
        <f>IF(M20,N20,"")</f>
        <v/>
      </c>
    </row>
    <row r="21">
      <c r="A21" s="9" t="n">
        <v>212</v>
      </c>
      <c r="B21" s="9" t="inlineStr">
        <is>
          <t>Anthropic API (Claude)</t>
        </is>
      </c>
      <c r="C21" s="9" t="inlineStr">
        <is>
          <t>llm</t>
        </is>
      </c>
      <c r="D21" s="9" t="inlineStr">
        <is>
          <t>Large Language Models</t>
        </is>
      </c>
      <c r="E21" s="9" t="n">
        <v>4.65</v>
      </c>
      <c r="F21" s="9" t="n">
        <v>4.7</v>
      </c>
      <c r="G21" s="9" t="n">
        <v>4.6</v>
      </c>
      <c r="H21" s="9" t="n">
        <v>2021</v>
      </c>
      <c r="I21" s="9" t="n">
        <v/>
      </c>
      <c r="J21" s="9" t="b">
        <v>0</v>
      </c>
      <c r="K21" s="9" t="b">
        <v>0</v>
      </c>
      <c r="L21" s="9" t="b">
        <v>1</v>
      </c>
      <c r="M21" s="9" t="b">
        <v>1</v>
      </c>
      <c r="N21" s="9" t="n">
        <v/>
      </c>
      <c r="O21" s="9" t="n">
        <v>0</v>
      </c>
      <c r="P21" s="9" t="n">
        <v>2</v>
      </c>
      <c r="Q21" s="9" t="n">
        <v>9</v>
      </c>
      <c r="R21" s="9" t="inlineStr">
        <is>
          <t>https://anthropic.com/api</t>
        </is>
      </c>
      <c r="S21">
        <f>IF(M21,N21,"")</f>
        <v/>
      </c>
    </row>
    <row r="22">
      <c r="A22" s="9" t="n">
        <v>129</v>
      </c>
      <c r="B22" s="9" t="inlineStr">
        <is>
          <t>Around</t>
        </is>
      </c>
      <c r="C22" s="9" t="inlineStr">
        <is>
          <t>video-conferencing</t>
        </is>
      </c>
      <c r="D22" s="9" t="inlineStr">
        <is>
          <t>Video Conferencing</t>
        </is>
      </c>
      <c r="E22" s="9" t="n">
        <v>4.35</v>
      </c>
      <c r="F22" s="9" t="n">
        <v>4.4</v>
      </c>
      <c r="G22" s="9" t="n">
        <v>4.3</v>
      </c>
      <c r="H22" s="9" t="n">
        <v>2020</v>
      </c>
      <c r="I22" s="9" t="inlineStr">
        <is>
          <t>San Francisco, CA (Miro)</t>
        </is>
      </c>
      <c r="J22" s="9" t="b">
        <v>1</v>
      </c>
      <c r="K22" s="9" t="b">
        <v>0</v>
      </c>
      <c r="L22" s="9" t="b">
        <v>0</v>
      </c>
      <c r="M22" s="9" t="b">
        <v>1</v>
      </c>
      <c r="N22" s="9" t="n">
        <v/>
      </c>
      <c r="O22" s="9" t="n">
        <v>0</v>
      </c>
      <c r="P22" s="9" t="n">
        <v>1</v>
      </c>
      <c r="Q22" s="9" t="n">
        <v>4</v>
      </c>
      <c r="R22" s="9" t="inlineStr">
        <is>
          <t>https://www.around.co</t>
        </is>
      </c>
      <c r="S22">
        <f>IF(M22,N22,"")</f>
        <v/>
      </c>
    </row>
    <row r="23">
      <c r="A23" s="9" t="n">
        <v>3</v>
      </c>
      <c r="B23" s="9" t="inlineStr">
        <is>
          <t>Asana</t>
        </is>
      </c>
      <c r="C23" s="9" t="inlineStr">
        <is>
          <t>project-management</t>
        </is>
      </c>
      <c r="D23" s="9" t="inlineStr">
        <is>
          <t>Project Management</t>
        </is>
      </c>
      <c r="E23" s="9" t="n">
        <v>4.45</v>
      </c>
      <c r="F23" s="9" t="n">
        <v>4.4</v>
      </c>
      <c r="G23" s="9" t="n">
        <v>4.5</v>
      </c>
      <c r="H23" s="9" t="n">
        <v>2008</v>
      </c>
      <c r="I23" s="9" t="inlineStr">
        <is>
          <t>San Francisco, CA</t>
        </is>
      </c>
      <c r="J23" s="9" t="b">
        <v>1</v>
      </c>
      <c r="K23" s="9" t="b">
        <v>0</v>
      </c>
      <c r="L23" s="9" t="b">
        <v>1</v>
      </c>
      <c r="M23" s="9" t="b">
        <v>1</v>
      </c>
      <c r="N23" s="9" t="n">
        <v>10.99</v>
      </c>
      <c r="O23" s="9" t="n">
        <v>24.99</v>
      </c>
      <c r="P23" s="9" t="n">
        <v>4</v>
      </c>
      <c r="Q23" s="9" t="n">
        <v>15</v>
      </c>
      <c r="R23" s="9" t="inlineStr">
        <is>
          <t>https://asana.com</t>
        </is>
      </c>
      <c r="S23">
        <f>IF(M23,N23,"")</f>
        <v/>
      </c>
    </row>
    <row r="24">
      <c r="A24" s="9" t="n">
        <v>36</v>
      </c>
      <c r="B24" s="9" t="inlineStr">
        <is>
          <t>Attio</t>
        </is>
      </c>
      <c r="C24" s="9" t="inlineStr">
        <is>
          <t>crm</t>
        </is>
      </c>
      <c r="D24" s="9" t="inlineStr">
        <is>
          <t>CRM</t>
        </is>
      </c>
      <c r="E24" s="9" t="n">
        <v>4.75</v>
      </c>
      <c r="F24" s="9" t="n">
        <v>4.8</v>
      </c>
      <c r="G24" s="9" t="n">
        <v>4.7</v>
      </c>
      <c r="H24" s="9" t="n">
        <v>2019</v>
      </c>
      <c r="I24" s="9" t="inlineStr">
        <is>
          <t>London, UK</t>
        </is>
      </c>
      <c r="J24" s="9" t="b">
        <v>1</v>
      </c>
      <c r="K24" s="9" t="b">
        <v>0</v>
      </c>
      <c r="L24" s="9" t="b">
        <v>1</v>
      </c>
      <c r="M24" s="9" t="b">
        <v>1</v>
      </c>
      <c r="N24" s="9" t="n">
        <v>34</v>
      </c>
      <c r="O24" s="9" t="n">
        <v>69</v>
      </c>
      <c r="P24" s="9" t="n">
        <v>4</v>
      </c>
      <c r="Q24" s="9" t="n">
        <v>11</v>
      </c>
      <c r="R24" s="9" t="inlineStr">
        <is>
          <t>https://attio.com</t>
        </is>
      </c>
      <c r="S24">
        <f>IF(M24,N24,"")</f>
        <v/>
      </c>
    </row>
    <row r="25">
      <c r="A25" s="9" t="n">
        <v>250</v>
      </c>
      <c r="B25" s="9" t="inlineStr">
        <is>
          <t>AutoGPT</t>
        </is>
      </c>
      <c r="C25" s="9" t="inlineStr">
        <is>
          <t>ai-agents</t>
        </is>
      </c>
      <c r="D25" s="9" t="inlineStr">
        <is>
          <t>AI Agents</t>
        </is>
      </c>
      <c r="E25" s="9" t="n">
        <v>3.75</v>
      </c>
      <c r="F25" s="9" t="n">
        <v>3.8</v>
      </c>
      <c r="G25" s="9" t="n">
        <v>3.7</v>
      </c>
      <c r="H25" s="9" t="n">
        <v>2023</v>
      </c>
      <c r="I25" s="9" t="n">
        <v/>
      </c>
      <c r="J25" s="9" t="b">
        <v>1</v>
      </c>
      <c r="K25" s="9" t="b">
        <v>0</v>
      </c>
      <c r="L25" s="9" t="b">
        <v>0</v>
      </c>
      <c r="M25" s="9" t="b">
        <v>1</v>
      </c>
      <c r="N25" s="9" t="n">
        <v/>
      </c>
      <c r="O25" s="9" t="n">
        <v>0</v>
      </c>
      <c r="P25" s="9" t="n">
        <v>2</v>
      </c>
      <c r="Q25" s="9" t="n">
        <v>18</v>
      </c>
      <c r="R25" s="9" t="inlineStr">
        <is>
          <t>https://agpt.co</t>
        </is>
      </c>
      <c r="S25">
        <f>IF(M25,N25,"")</f>
        <v/>
      </c>
    </row>
    <row r="26">
      <c r="A26" s="9" t="n">
        <v>307</v>
      </c>
      <c r="B26" s="9" t="inlineStr">
        <is>
          <t>BONKbot</t>
        </is>
      </c>
      <c r="C26" s="9" t="inlineStr">
        <is>
          <t>crypto-telegram-bots</t>
        </is>
      </c>
      <c r="D26" s="9" t="inlineStr">
        <is>
          <t>Crypto Telegram Bots</t>
        </is>
      </c>
      <c r="E26" s="9" t="n">
        <v>4</v>
      </c>
      <c r="F26" s="9" t="n">
        <v>4</v>
      </c>
      <c r="G26" s="9" t="n">
        <v/>
      </c>
      <c r="H26" s="9" t="n">
        <v>2023</v>
      </c>
      <c r="I26" s="9" t="inlineStr">
        <is>
          <t>Unknown</t>
        </is>
      </c>
      <c r="J26" s="9" t="b">
        <v>1</v>
      </c>
      <c r="K26" s="9" t="b">
        <v>0</v>
      </c>
      <c r="L26" s="9" t="b">
        <v>0</v>
      </c>
      <c r="M26" s="9" t="b">
        <v>1</v>
      </c>
      <c r="N26" s="9" t="n">
        <v/>
      </c>
      <c r="O26" s="9" t="n">
        <v>0</v>
      </c>
      <c r="P26" s="9" t="n">
        <v>1</v>
      </c>
      <c r="Q26" s="9" t="n">
        <v>4</v>
      </c>
      <c r="R26" s="9" t="inlineStr">
        <is>
          <t>https://bonkbot.io</t>
        </is>
      </c>
      <c r="S26">
        <f>IF(M26,N26,"")</f>
        <v/>
      </c>
    </row>
    <row r="27">
      <c r="A27" s="9" t="n">
        <v>306</v>
      </c>
      <c r="B27" s="9" t="inlineStr">
        <is>
          <t>Banana Gun</t>
        </is>
      </c>
      <c r="C27" s="9" t="inlineStr">
        <is>
          <t>crypto-telegram-bots</t>
        </is>
      </c>
      <c r="D27" s="9" t="inlineStr">
        <is>
          <t>Crypto Telegram Bots</t>
        </is>
      </c>
      <c r="E27" s="9" t="n">
        <v>4.3</v>
      </c>
      <c r="F27" s="9" t="n">
        <v>4.3</v>
      </c>
      <c r="G27" s="9" t="n">
        <v/>
      </c>
      <c r="H27" s="9" t="n">
        <v>2023</v>
      </c>
      <c r="I27" s="9" t="inlineStr">
        <is>
          <t>Unknown</t>
        </is>
      </c>
      <c r="J27" s="9" t="b">
        <v>1</v>
      </c>
      <c r="K27" s="9" t="b">
        <v>0</v>
      </c>
      <c r="L27" s="9" t="b">
        <v>0</v>
      </c>
      <c r="M27" s="9" t="b">
        <v>1</v>
      </c>
      <c r="N27" s="9" t="n">
        <v/>
      </c>
      <c r="O27" s="9" t="n">
        <v>0</v>
      </c>
      <c r="P27" s="9" t="n">
        <v>1</v>
      </c>
      <c r="Q27" s="9" t="n">
        <v>9</v>
      </c>
      <c r="R27" s="9" t="inlineStr">
        <is>
          <t>https://bananagun.io</t>
        </is>
      </c>
      <c r="S27">
        <f>IF(M27,N27,"")</f>
        <v/>
      </c>
    </row>
    <row r="28">
      <c r="A28" s="9" t="n">
        <v>7</v>
      </c>
      <c r="B28" s="9" t="inlineStr">
        <is>
          <t>Basecamp</t>
        </is>
      </c>
      <c r="C28" s="9" t="inlineStr">
        <is>
          <t>project-management</t>
        </is>
      </c>
      <c r="D28" s="9" t="inlineStr">
        <is>
          <t>Project Management</t>
        </is>
      </c>
      <c r="E28" s="9" t="n">
        <v>4.2</v>
      </c>
      <c r="F28" s="9" t="n">
        <v>4.1</v>
      </c>
      <c r="G28" s="9" t="n">
        <v>4.3</v>
      </c>
      <c r="H28" s="9" t="n">
        <v>2004</v>
      </c>
      <c r="I28" s="9" t="inlineStr">
        <is>
          <t>Chicago, IL</t>
        </is>
      </c>
      <c r="J28" s="9" t="b">
        <v>1</v>
      </c>
      <c r="K28" s="9" t="b">
        <v>0</v>
      </c>
      <c r="L28" s="9" t="b">
        <v>0</v>
      </c>
      <c r="M28" s="9" t="b">
        <v>1</v>
      </c>
      <c r="N28" s="9" t="n">
        <v>15</v>
      </c>
      <c r="O28" s="9" t="n">
        <v>299</v>
      </c>
      <c r="P28" s="9" t="n">
        <v>3</v>
      </c>
      <c r="Q28" s="9" t="n">
        <v>9</v>
      </c>
      <c r="R28" s="9" t="inlineStr">
        <is>
          <t>https://basecamp.com</t>
        </is>
      </c>
      <c r="S28">
        <f>IF(M28,N28,"")</f>
        <v/>
      </c>
    </row>
    <row r="29">
      <c r="A29" s="9" t="n">
        <v>226</v>
      </c>
      <c r="B29" s="9" t="inlineStr">
        <is>
          <t>Beautiful.ai</t>
        </is>
      </c>
      <c r="C29" s="9" t="inlineStr">
        <is>
          <t>ai-productivity</t>
        </is>
      </c>
      <c r="D29" s="9" t="inlineStr">
        <is>
          <t>AI Productivity</t>
        </is>
      </c>
      <c r="E29" s="9" t="n">
        <v>4.45</v>
      </c>
      <c r="F29" s="9" t="n">
        <v>4.4</v>
      </c>
      <c r="G29" s="9" t="n">
        <v>4.5</v>
      </c>
      <c r="H29" s="9" t="n">
        <v>2016</v>
      </c>
      <c r="I29" s="9" t="n">
        <v/>
      </c>
      <c r="J29" s="9" t="b">
        <v>0</v>
      </c>
      <c r="K29" s="9" t="b">
        <v>0</v>
      </c>
      <c r="L29" s="9" t="b">
        <v>1</v>
      </c>
      <c r="M29" s="9" t="b">
        <v>1</v>
      </c>
      <c r="N29" s="9" t="n">
        <v>12</v>
      </c>
      <c r="O29" s="9" t="n">
        <v>40</v>
      </c>
      <c r="P29" s="9" t="n">
        <v>3</v>
      </c>
      <c r="Q29" s="9" t="n">
        <v>10</v>
      </c>
      <c r="R29" s="9" t="inlineStr">
        <is>
          <t>https://beautiful.ai</t>
        </is>
      </c>
      <c r="S29">
        <f>IF(M29,N29,"")</f>
        <v/>
      </c>
    </row>
    <row r="30">
      <c r="A30" s="9" t="n">
        <v>114</v>
      </c>
      <c r="B30" s="9" t="inlineStr">
        <is>
          <t>Bench</t>
        </is>
      </c>
      <c r="C30" s="9" t="inlineStr">
        <is>
          <t>accounting</t>
        </is>
      </c>
      <c r="D30" s="9" t="inlineStr">
        <is>
          <t>Accounting</t>
        </is>
      </c>
      <c r="E30" s="9" t="n">
        <v>4.45</v>
      </c>
      <c r="F30" s="9" t="n">
        <v>4.5</v>
      </c>
      <c r="G30" s="9" t="n">
        <v>4.4</v>
      </c>
      <c r="H30" s="9" t="n">
        <v>2012</v>
      </c>
      <c r="I30" s="9" t="inlineStr">
        <is>
          <t>Vancouver, Canada</t>
        </is>
      </c>
      <c r="J30" s="9" t="b">
        <v>0</v>
      </c>
      <c r="K30" s="9" t="b">
        <v>0</v>
      </c>
      <c r="L30" s="9" t="b">
        <v>0</v>
      </c>
      <c r="M30" s="9" t="b">
        <v>1</v>
      </c>
      <c r="N30" s="9" t="n">
        <v>189</v>
      </c>
      <c r="O30" s="9" t="n">
        <v>339</v>
      </c>
      <c r="P30" s="9" t="n">
        <v>2</v>
      </c>
      <c r="Q30" s="9" t="n">
        <v>7</v>
      </c>
      <c r="R30" s="9" t="inlineStr">
        <is>
          <t>https://bench.co</t>
        </is>
      </c>
      <c r="S30">
        <f>IF(M30,N30,"")</f>
        <v/>
      </c>
    </row>
    <row r="31">
      <c r="A31" s="9" t="n">
        <v>297</v>
      </c>
      <c r="B31" s="9" t="inlineStr">
        <is>
          <t>Binance</t>
        </is>
      </c>
      <c r="C31" s="9" t="inlineStr">
        <is>
          <t>crypto-exchanges</t>
        </is>
      </c>
      <c r="D31" s="9" t="inlineStr">
        <is>
          <t>Crypto Exchanges</t>
        </is>
      </c>
      <c r="E31" s="9" t="n">
        <v>4.35</v>
      </c>
      <c r="F31" s="9" t="n">
        <v>4.4</v>
      </c>
      <c r="G31" s="9" t="n">
        <v>4.3</v>
      </c>
      <c r="H31" s="9" t="n">
        <v>2017</v>
      </c>
      <c r="I31" s="9" t="inlineStr">
        <is>
          <t>Cayman Islands</t>
        </is>
      </c>
      <c r="J31" s="9" t="b">
        <v>1</v>
      </c>
      <c r="K31" s="9" t="b">
        <v>0</v>
      </c>
      <c r="L31" s="9" t="b">
        <v>1</v>
      </c>
      <c r="M31" s="9" t="b">
        <v>1</v>
      </c>
      <c r="N31" s="9" t="n">
        <v/>
      </c>
      <c r="O31" s="9" t="n">
        <v>0</v>
      </c>
      <c r="P31" s="9" t="n">
        <v>3</v>
      </c>
      <c r="Q31" s="9" t="n">
        <v>11</v>
      </c>
      <c r="R31" s="9" t="inlineStr">
        <is>
          <t>https://www.binance.com</t>
        </is>
      </c>
      <c r="S31">
        <f>IF(M31,N31,"")</f>
        <v/>
      </c>
    </row>
    <row r="32">
      <c r="A32" s="9" t="n">
        <v>304</v>
      </c>
      <c r="B32" s="9" t="inlineStr">
        <is>
          <t>Bitget</t>
        </is>
      </c>
      <c r="C32" s="9" t="inlineStr">
        <is>
          <t>crypto-exchanges</t>
        </is>
      </c>
      <c r="D32" s="9" t="inlineStr">
        <is>
          <t>Crypto Exchanges</t>
        </is>
      </c>
      <c r="E32" s="9" t="n">
        <v>4.1</v>
      </c>
      <c r="F32" s="9" t="n">
        <v>4.1</v>
      </c>
      <c r="G32" s="9" t="n">
        <v/>
      </c>
      <c r="H32" s="9" t="n">
        <v>2018</v>
      </c>
      <c r="I32" s="9" t="inlineStr">
        <is>
          <t>Seychelles</t>
        </is>
      </c>
      <c r="J32" s="9" t="b">
        <v>1</v>
      </c>
      <c r="K32" s="9" t="b">
        <v>0</v>
      </c>
      <c r="L32" s="9" t="b">
        <v>1</v>
      </c>
      <c r="M32" s="9" t="b">
        <v>1</v>
      </c>
      <c r="N32" s="9" t="n">
        <v/>
      </c>
      <c r="O32" s="9" t="n">
        <v>0</v>
      </c>
      <c r="P32" s="9" t="n">
        <v>3</v>
      </c>
      <c r="Q32" s="9" t="n">
        <v>7</v>
      </c>
      <c r="R32" s="9" t="inlineStr">
        <is>
          <t>https://www.bitget.com</t>
        </is>
      </c>
      <c r="S32">
        <f>IF(M32,N32,"")</f>
        <v/>
      </c>
    </row>
    <row r="33">
      <c r="A33" s="9" t="n">
        <v>268</v>
      </c>
      <c r="B33" s="9" t="inlineStr">
        <is>
          <t>Bitsgap</t>
        </is>
      </c>
      <c r="C33" s="9" t="inlineStr">
        <is>
          <t>crypto-trading-bots</t>
        </is>
      </c>
      <c r="D33" s="9" t="inlineStr">
        <is>
          <t>Crypto Trading Bots</t>
        </is>
      </c>
      <c r="E33" s="9" t="n">
        <v>4.2</v>
      </c>
      <c r="F33" s="9" t="n">
        <v>4.2</v>
      </c>
      <c r="G33" s="9" t="n">
        <v/>
      </c>
      <c r="H33" s="9" t="n">
        <v>2018</v>
      </c>
      <c r="I33" s="9" t="inlineStr">
        <is>
          <t>Tallinn, Estonia</t>
        </is>
      </c>
      <c r="J33" s="9" t="b">
        <v>1</v>
      </c>
      <c r="K33" s="9" t="b">
        <v>0</v>
      </c>
      <c r="L33" s="9" t="b">
        <v>0</v>
      </c>
      <c r="M33" s="9" t="b">
        <v>1</v>
      </c>
      <c r="N33" s="9" t="n">
        <v>23</v>
      </c>
      <c r="O33" s="9" t="n">
        <v>119</v>
      </c>
      <c r="P33" s="9" t="n">
        <v>4</v>
      </c>
      <c r="Q33" s="9" t="n">
        <v>8</v>
      </c>
      <c r="R33" s="9" t="inlineStr">
        <is>
          <t>https://bitsgap.com</t>
        </is>
      </c>
      <c r="S33">
        <f>IF(M33,N33,"")</f>
        <v/>
      </c>
    </row>
    <row r="34">
      <c r="A34" s="9" t="n">
        <v>158</v>
      </c>
      <c r="B34" s="9" t="inlineStr">
        <is>
          <t>Bitwarden</t>
        </is>
      </c>
      <c r="C34" s="9" t="inlineStr">
        <is>
          <t>password-managers</t>
        </is>
      </c>
      <c r="D34" s="9" t="inlineStr">
        <is>
          <t>Password Managers</t>
        </is>
      </c>
      <c r="E34" s="9" t="n">
        <v>4.75</v>
      </c>
      <c r="F34" s="9" t="n">
        <v>4.7</v>
      </c>
      <c r="G34" s="9" t="n">
        <v>4.8</v>
      </c>
      <c r="H34" s="9" t="n">
        <v>2016</v>
      </c>
      <c r="I34" s="9" t="n">
        <v/>
      </c>
      <c r="J34" s="9" t="b">
        <v>1</v>
      </c>
      <c r="K34" s="9" t="b">
        <v>0</v>
      </c>
      <c r="L34" s="9" t="b">
        <v>0</v>
      </c>
      <c r="M34" s="9" t="b">
        <v>1</v>
      </c>
      <c r="N34" s="9" t="n">
        <v>1</v>
      </c>
      <c r="O34" s="9" t="n">
        <v>4</v>
      </c>
      <c r="P34" s="9" t="n">
        <v>3</v>
      </c>
      <c r="Q34" s="9" t="n">
        <v>9</v>
      </c>
      <c r="R34" s="9" t="inlineStr">
        <is>
          <t>https://bitwarden.com</t>
        </is>
      </c>
      <c r="S34">
        <f>IF(M34,N34,"")</f>
        <v/>
      </c>
    </row>
    <row r="35">
      <c r="A35" s="9" t="n">
        <v>311</v>
      </c>
      <c r="B35" s="9" t="inlineStr">
        <is>
          <t>Bloom</t>
        </is>
      </c>
      <c r="C35" s="9" t="inlineStr">
        <is>
          <t>crypto-telegram-bots</t>
        </is>
      </c>
      <c r="D35" s="9" t="inlineStr">
        <is>
          <t>Crypto Telegram Bots</t>
        </is>
      </c>
      <c r="E35" s="9" t="n">
        <v>4.2</v>
      </c>
      <c r="F35" s="9" t="n">
        <v>4.2</v>
      </c>
      <c r="G35" s="9" t="n">
        <v/>
      </c>
      <c r="H35" s="9" t="n">
        <v>2023</v>
      </c>
      <c r="I35" s="9" t="inlineStr">
        <is>
          <t>Unknown</t>
        </is>
      </c>
      <c r="J35" s="9" t="b">
        <v>1</v>
      </c>
      <c r="K35" s="9" t="b">
        <v>0</v>
      </c>
      <c r="L35" s="9" t="b">
        <v>0</v>
      </c>
      <c r="M35" s="9" t="b">
        <v>1</v>
      </c>
      <c r="N35" s="9" t="n">
        <v/>
      </c>
      <c r="O35" s="9" t="n">
        <v>0</v>
      </c>
      <c r="P35" s="9" t="n">
        <v>1</v>
      </c>
      <c r="Q35" s="9" t="n">
        <v>14</v>
      </c>
      <c r="R35" s="9" t="inlineStr">
        <is>
          <t>https://bloombot.app</t>
        </is>
      </c>
      <c r="S35">
        <f>IF(M35,N35,"")</f>
        <v/>
      </c>
    </row>
    <row r="36">
      <c r="A36" s="9" t="n">
        <v>88</v>
      </c>
      <c r="B36" s="9" t="inlineStr">
        <is>
          <t>Bluehost</t>
        </is>
      </c>
      <c r="C36" s="9" t="inlineStr">
        <is>
          <t>cloud-hosting</t>
        </is>
      </c>
      <c r="D36" s="9" t="inlineStr">
        <is>
          <t>Cloud Hosting</t>
        </is>
      </c>
      <c r="E36" s="9" t="n">
        <v>4</v>
      </c>
      <c r="F36" s="9" t="n">
        <v>3.7</v>
      </c>
      <c r="G36" s="9" t="n">
        <v>4.3</v>
      </c>
      <c r="H36" s="9" t="n">
        <v>2003</v>
      </c>
      <c r="I36" s="9" t="inlineStr">
        <is>
          <t>Burlington, MA (Newfold Digital)</t>
        </is>
      </c>
      <c r="J36" s="9" t="b">
        <v>0</v>
      </c>
      <c r="K36" s="9" t="b">
        <v>0</v>
      </c>
      <c r="L36" s="9" t="b">
        <v>0</v>
      </c>
      <c r="M36" s="9" t="b">
        <v>1</v>
      </c>
      <c r="N36" s="9" t="n">
        <v>2.95</v>
      </c>
      <c r="O36" s="9" t="n">
        <v>9.949999999999999</v>
      </c>
      <c r="P36" s="9" t="n">
        <v>4</v>
      </c>
      <c r="Q36" s="9" t="n">
        <v>16</v>
      </c>
      <c r="R36" s="9" t="inlineStr">
        <is>
          <t>https://www.bluehost.com</t>
        </is>
      </c>
      <c r="S36">
        <f>IF(M36,N36,"")</f>
        <v/>
      </c>
    </row>
    <row r="37">
      <c r="A37" s="9" t="n">
        <v>206</v>
      </c>
      <c r="B37" s="9" t="inlineStr">
        <is>
          <t>Bolt.new</t>
        </is>
      </c>
      <c r="C37" s="9" t="inlineStr">
        <is>
          <t>ai-coding</t>
        </is>
      </c>
      <c r="D37" s="9" t="inlineStr">
        <is>
          <t>AI Coding</t>
        </is>
      </c>
      <c r="E37" s="9" t="n">
        <v>4.55</v>
      </c>
      <c r="F37" s="9" t="n">
        <v>4.6</v>
      </c>
      <c r="G37" s="9" t="n">
        <v>4.5</v>
      </c>
      <c r="H37" s="9" t="n">
        <v>2024</v>
      </c>
      <c r="I37" s="9" t="n">
        <v/>
      </c>
      <c r="J37" s="9" t="b">
        <v>1</v>
      </c>
      <c r="K37" s="9" t="b">
        <v>0</v>
      </c>
      <c r="L37" s="9" t="b">
        <v>0</v>
      </c>
      <c r="M37" s="9" t="b">
        <v>1</v>
      </c>
      <c r="N37" s="9" t="n">
        <v>25</v>
      </c>
      <c r="O37" s="9" t="n">
        <v>30</v>
      </c>
      <c r="P37" s="9" t="n">
        <v>3</v>
      </c>
      <c r="Q37" s="9" t="n">
        <v>8</v>
      </c>
      <c r="R37" s="9" t="inlineStr">
        <is>
          <t>https://bolt.new</t>
        </is>
      </c>
      <c r="S37">
        <f>IF(M37,N37,"")</f>
        <v/>
      </c>
    </row>
    <row r="38">
      <c r="A38" s="9" t="n">
        <v>116</v>
      </c>
      <c r="B38" s="9" t="inlineStr">
        <is>
          <t>Bonsai</t>
        </is>
      </c>
      <c r="C38" s="9" t="inlineStr">
        <is>
          <t>accounting</t>
        </is>
      </c>
      <c r="D38" s="9" t="inlineStr">
        <is>
          <t>Accounting</t>
        </is>
      </c>
      <c r="E38" s="9" t="n">
        <v>4.4</v>
      </c>
      <c r="F38" s="9" t="n">
        <v>4.3</v>
      </c>
      <c r="G38" s="9" t="n">
        <v>4.5</v>
      </c>
      <c r="H38" s="9" t="n">
        <v>2016</v>
      </c>
      <c r="I38" s="9" t="inlineStr">
        <is>
          <t>San Francisco, CA</t>
        </is>
      </c>
      <c r="J38" s="9" t="b">
        <v>0</v>
      </c>
      <c r="K38" s="9" t="b">
        <v>0</v>
      </c>
      <c r="L38" s="9" t="b">
        <v>0</v>
      </c>
      <c r="M38" s="9" t="b">
        <v>1</v>
      </c>
      <c r="N38" s="9" t="n">
        <v>9</v>
      </c>
      <c r="O38" s="9" t="n">
        <v>29</v>
      </c>
      <c r="P38" s="9" t="n">
        <v>3</v>
      </c>
      <c r="Q38" s="9" t="n">
        <v>10</v>
      </c>
      <c r="R38" s="9" t="inlineStr">
        <is>
          <t>https://www.hellobonsai.com</t>
        </is>
      </c>
      <c r="S38">
        <f>IF(M38,N38,"")</f>
        <v/>
      </c>
    </row>
    <row r="39">
      <c r="A39" s="9" t="n">
        <v>258</v>
      </c>
      <c r="B39" s="9" t="inlineStr">
        <is>
          <t>Botpress</t>
        </is>
      </c>
      <c r="C39" s="9" t="inlineStr">
        <is>
          <t>ai-assistants</t>
        </is>
      </c>
      <c r="D39" s="9" t="inlineStr">
        <is>
          <t>AI Assistants</t>
        </is>
      </c>
      <c r="E39" s="9" t="n">
        <v>4.55</v>
      </c>
      <c r="F39" s="9" t="n">
        <v>4.6</v>
      </c>
      <c r="G39" s="9" t="n">
        <v>4.5</v>
      </c>
      <c r="H39" s="9" t="n">
        <v>2016</v>
      </c>
      <c r="I39" s="9" t="n">
        <v/>
      </c>
      <c r="J39" s="9" t="b">
        <v>1</v>
      </c>
      <c r="K39" s="9" t="b">
        <v>0</v>
      </c>
      <c r="L39" s="9" t="b">
        <v>0</v>
      </c>
      <c r="M39" s="9" t="b">
        <v>1</v>
      </c>
      <c r="N39" s="9" t="n">
        <v>89</v>
      </c>
      <c r="O39" s="9" t="n">
        <v>89</v>
      </c>
      <c r="P39" s="9" t="n">
        <v>2</v>
      </c>
      <c r="Q39" s="9" t="n">
        <v>13</v>
      </c>
      <c r="R39" s="9" t="inlineStr">
        <is>
          <t>https://botpress.com</t>
        </is>
      </c>
      <c r="S39">
        <f>IF(M39,N39,"")</f>
        <v/>
      </c>
    </row>
    <row r="40">
      <c r="A40" s="9" t="n">
        <v>40</v>
      </c>
      <c r="B40" s="9" t="inlineStr">
        <is>
          <t>Brevo (Sendinblue)</t>
        </is>
      </c>
      <c r="C40" s="9" t="inlineStr">
        <is>
          <t>email-marketing</t>
        </is>
      </c>
      <c r="D40" s="9" t="inlineStr">
        <is>
          <t>Email Marketing</t>
        </is>
      </c>
      <c r="E40" s="9" t="n">
        <v>4.5</v>
      </c>
      <c r="F40" s="9" t="n">
        <v>4.5</v>
      </c>
      <c r="G40" s="9" t="n">
        <v>4.5</v>
      </c>
      <c r="H40" s="9" t="n">
        <v>2012</v>
      </c>
      <c r="I40" s="9" t="inlineStr">
        <is>
          <t>Paris, France</t>
        </is>
      </c>
      <c r="J40" s="9" t="b">
        <v>0</v>
      </c>
      <c r="K40" s="9" t="b">
        <v>0</v>
      </c>
      <c r="L40" s="9" t="b">
        <v>1</v>
      </c>
      <c r="M40" s="9" t="b">
        <v>1</v>
      </c>
      <c r="N40" s="9" t="n">
        <v>9</v>
      </c>
      <c r="O40" s="9" t="n">
        <v>49</v>
      </c>
      <c r="P40" s="9" t="n">
        <v>4</v>
      </c>
      <c r="Q40" s="9" t="n">
        <v>17</v>
      </c>
      <c r="R40" s="9" t="inlineStr">
        <is>
          <t>https://www.brevo.com</t>
        </is>
      </c>
      <c r="S40">
        <f>IF(M40,N40,"")</f>
        <v/>
      </c>
    </row>
    <row r="41">
      <c r="A41" s="9" t="n">
        <v>310</v>
      </c>
      <c r="B41" s="9" t="inlineStr">
        <is>
          <t>BullX</t>
        </is>
      </c>
      <c r="C41" s="9" t="inlineStr">
        <is>
          <t>crypto-telegram-bots</t>
        </is>
      </c>
      <c r="D41" s="9" t="inlineStr">
        <is>
          <t>Crypto Telegram Bots</t>
        </is>
      </c>
      <c r="E41" s="9" t="n">
        <v>4.1</v>
      </c>
      <c r="F41" s="9" t="n">
        <v>4.1</v>
      </c>
      <c r="G41" s="9" t="n">
        <v/>
      </c>
      <c r="H41" s="9" t="n">
        <v>2024</v>
      </c>
      <c r="I41" s="9" t="inlineStr">
        <is>
          <t>Unknown</t>
        </is>
      </c>
      <c r="J41" s="9" t="b">
        <v>1</v>
      </c>
      <c r="K41" s="9" t="b">
        <v>0</v>
      </c>
      <c r="L41" s="9" t="b">
        <v>0</v>
      </c>
      <c r="M41" s="9" t="b">
        <v>1</v>
      </c>
      <c r="N41" s="9" t="n">
        <v/>
      </c>
      <c r="O41" s="9" t="n">
        <v>0</v>
      </c>
      <c r="P41" s="9" t="n">
        <v>1</v>
      </c>
      <c r="Q41" s="9" t="n">
        <v>9</v>
      </c>
      <c r="R41" s="9" t="inlineStr">
        <is>
          <t>https://bullx.io</t>
        </is>
      </c>
      <c r="S41">
        <f>IF(M41,N41,"")</f>
        <v/>
      </c>
    </row>
    <row r="42">
      <c r="A42" s="9" t="n">
        <v>136</v>
      </c>
      <c r="B42" s="9" t="inlineStr">
        <is>
          <t>Butter</t>
        </is>
      </c>
      <c r="C42" s="9" t="inlineStr">
        <is>
          <t>video-conferencing</t>
        </is>
      </c>
      <c r="D42" s="9" t="inlineStr">
        <is>
          <t>Video Conferencing</t>
        </is>
      </c>
      <c r="E42" s="9" t="n">
        <v>4.65</v>
      </c>
      <c r="F42" s="9" t="n">
        <v>4.7</v>
      </c>
      <c r="G42" s="9" t="n">
        <v>4.6</v>
      </c>
      <c r="H42" s="9" t="n">
        <v>2021</v>
      </c>
      <c r="I42" s="9" t="inlineStr">
        <is>
          <t>Berlin, Germany</t>
        </is>
      </c>
      <c r="J42" s="9" t="b">
        <v>1</v>
      </c>
      <c r="K42" s="9" t="b">
        <v>0</v>
      </c>
      <c r="L42" s="9" t="b">
        <v>1</v>
      </c>
      <c r="M42" s="9" t="b">
        <v>1</v>
      </c>
      <c r="N42" s="9" t="n">
        <v>25</v>
      </c>
      <c r="O42" s="9" t="n">
        <v>25</v>
      </c>
      <c r="P42" s="9" t="n">
        <v>3</v>
      </c>
      <c r="Q42" s="9" t="n">
        <v>8</v>
      </c>
      <c r="R42" s="9" t="inlineStr">
        <is>
          <t>https://butter.us</t>
        </is>
      </c>
      <c r="S42">
        <f>IF(M42,N42,"")</f>
        <v/>
      </c>
    </row>
    <row r="43">
      <c r="A43" s="9" t="n">
        <v>53</v>
      </c>
      <c r="B43" s="9" t="inlineStr">
        <is>
          <t>Buttondown</t>
        </is>
      </c>
      <c r="C43" s="9" t="inlineStr">
        <is>
          <t>email-marketing</t>
        </is>
      </c>
      <c r="D43" s="9" t="inlineStr">
        <is>
          <t>Email Marketing</t>
        </is>
      </c>
      <c r="E43" s="9" t="n">
        <v>4.7</v>
      </c>
      <c r="F43" s="9" t="n">
        <v>4.6</v>
      </c>
      <c r="G43" s="9" t="n">
        <v>4.8</v>
      </c>
      <c r="H43" s="9" t="n">
        <v>2017</v>
      </c>
      <c r="I43" s="9" t="inlineStr">
        <is>
          <t>Seattle, WA</t>
        </is>
      </c>
      <c r="J43" s="9" t="b">
        <v>1</v>
      </c>
      <c r="K43" s="9" t="b">
        <v>0</v>
      </c>
      <c r="L43" s="9" t="b">
        <v>0</v>
      </c>
      <c r="M43" s="9" t="b">
        <v>1</v>
      </c>
      <c r="N43" s="9" t="n">
        <v>9</v>
      </c>
      <c r="O43" s="9" t="n">
        <v>79</v>
      </c>
      <c r="P43" s="9" t="n">
        <v>4</v>
      </c>
      <c r="Q43" s="9" t="n">
        <v>6</v>
      </c>
      <c r="R43" s="9" t="inlineStr">
        <is>
          <t>https://buttondown.com</t>
        </is>
      </c>
      <c r="S43">
        <f>IF(M43,N43,"")</f>
        <v/>
      </c>
    </row>
    <row r="44">
      <c r="A44" s="9" t="n">
        <v>300</v>
      </c>
      <c r="B44" s="9" t="inlineStr">
        <is>
          <t>Bybit</t>
        </is>
      </c>
      <c r="C44" s="9" t="inlineStr">
        <is>
          <t>crypto-exchanges</t>
        </is>
      </c>
      <c r="D44" s="9" t="inlineStr">
        <is>
          <t>Crypto Exchanges</t>
        </is>
      </c>
      <c r="E44" s="9" t="n">
        <v>4.2</v>
      </c>
      <c r="F44" s="9" t="n">
        <v>4.2</v>
      </c>
      <c r="G44" s="9" t="n">
        <v/>
      </c>
      <c r="H44" s="9" t="n">
        <v>2018</v>
      </c>
      <c r="I44" s="9" t="inlineStr">
        <is>
          <t>Dubai, UAE</t>
        </is>
      </c>
      <c r="J44" s="9" t="b">
        <v>1</v>
      </c>
      <c r="K44" s="9" t="b">
        <v>0</v>
      </c>
      <c r="L44" s="9" t="b">
        <v>1</v>
      </c>
      <c r="M44" s="9" t="b">
        <v>1</v>
      </c>
      <c r="N44" s="9" t="n">
        <v/>
      </c>
      <c r="O44" s="9" t="n">
        <v>0</v>
      </c>
      <c r="P44" s="9" t="n">
        <v>3</v>
      </c>
      <c r="Q44" s="9" t="n">
        <v>7</v>
      </c>
      <c r="R44" s="9" t="inlineStr">
        <is>
          <t>https://www.bybit.com</t>
        </is>
      </c>
      <c r="S44">
        <f>IF(M44,N44,"")</f>
        <v/>
      </c>
    </row>
    <row r="45">
      <c r="A45" s="9" t="n">
        <v>135</v>
      </c>
      <c r="B45" s="9" t="inlineStr">
        <is>
          <t>Cal.com (Cal Video)</t>
        </is>
      </c>
      <c r="C45" s="9" t="inlineStr">
        <is>
          <t>video-conferencing</t>
        </is>
      </c>
      <c r="D45" s="9" t="inlineStr">
        <is>
          <t>Video Conferencing</t>
        </is>
      </c>
      <c r="E45" s="9" t="n">
        <v>4.65</v>
      </c>
      <c r="F45" s="9" t="n">
        <v>4.7</v>
      </c>
      <c r="G45" s="9" t="n">
        <v>4.6</v>
      </c>
      <c r="H45" s="9" t="n">
        <v>2021</v>
      </c>
      <c r="I45" s="9" t="inlineStr">
        <is>
          <t>San Francisco, CA</t>
        </is>
      </c>
      <c r="J45" s="9" t="b">
        <v>1</v>
      </c>
      <c r="K45" s="9" t="b">
        <v>0</v>
      </c>
      <c r="L45" s="9" t="b">
        <v>1</v>
      </c>
      <c r="M45" s="9" t="b">
        <v>1</v>
      </c>
      <c r="N45" s="9" t="n">
        <v>12</v>
      </c>
      <c r="O45" s="9" t="n">
        <v>12</v>
      </c>
      <c r="P45" s="9" t="n">
        <v>3</v>
      </c>
      <c r="Q45" s="9" t="n">
        <v>9</v>
      </c>
      <c r="R45" s="9" t="inlineStr">
        <is>
          <t>https://cal.com</t>
        </is>
      </c>
      <c r="S45">
        <f>IF(M45,N45,"")</f>
        <v/>
      </c>
    </row>
    <row r="46">
      <c r="A46" s="9" t="n">
        <v>50</v>
      </c>
      <c r="B46" s="9" t="inlineStr">
        <is>
          <t>Campaign Monitor</t>
        </is>
      </c>
      <c r="C46" s="9" t="inlineStr">
        <is>
          <t>email-marketing</t>
        </is>
      </c>
      <c r="D46" s="9" t="inlineStr">
        <is>
          <t>Email Marketing</t>
        </is>
      </c>
      <c r="E46" s="9" t="n">
        <v>4.3</v>
      </c>
      <c r="F46" s="9" t="n">
        <v>4.1</v>
      </c>
      <c r="G46" s="9" t="n">
        <v>4.5</v>
      </c>
      <c r="H46" s="9" t="n">
        <v>2004</v>
      </c>
      <c r="I46" s="9" t="inlineStr">
        <is>
          <t>Nashville, TN (Marigold)</t>
        </is>
      </c>
      <c r="J46" s="9" t="b">
        <v>0</v>
      </c>
      <c r="K46" s="9" t="b">
        <v>0</v>
      </c>
      <c r="L46" s="9" t="b">
        <v>0</v>
      </c>
      <c r="M46" s="9" t="b">
        <v>1</v>
      </c>
      <c r="N46" s="9" t="n">
        <v>12</v>
      </c>
      <c r="O46" s="9" t="n">
        <v>159</v>
      </c>
      <c r="P46" s="9" t="n">
        <v>3</v>
      </c>
      <c r="Q46" s="9" t="n">
        <v>15</v>
      </c>
      <c r="R46" s="9" t="inlineStr">
        <is>
          <t>https://www.campaignmonitor.com</t>
        </is>
      </c>
      <c r="S46">
        <f>IF(M46,N46,"")</f>
        <v/>
      </c>
    </row>
    <row r="47">
      <c r="A47" s="9" t="n">
        <v>92</v>
      </c>
      <c r="B47" s="9" t="inlineStr">
        <is>
          <t>Canva</t>
        </is>
      </c>
      <c r="C47" s="9" t="inlineStr">
        <is>
          <t>design-tools</t>
        </is>
      </c>
      <c r="D47" s="9" t="inlineStr">
        <is>
          <t>Design Tools</t>
        </is>
      </c>
      <c r="E47" s="9" t="n">
        <v>4.7</v>
      </c>
      <c r="F47" s="9" t="n">
        <v>4.7</v>
      </c>
      <c r="G47" s="9" t="n">
        <v>4.7</v>
      </c>
      <c r="H47" s="9" t="n">
        <v>2012</v>
      </c>
      <c r="I47" s="9" t="inlineStr">
        <is>
          <t>Sydney, Australia</t>
        </is>
      </c>
      <c r="J47" s="9" t="b">
        <v>1</v>
      </c>
      <c r="K47" s="9" t="b">
        <v>0</v>
      </c>
      <c r="L47" s="9" t="b">
        <v>1</v>
      </c>
      <c r="M47" s="9" t="b">
        <v>1</v>
      </c>
      <c r="N47" s="9" t="n">
        <v>10</v>
      </c>
      <c r="O47" s="9" t="n">
        <v>15</v>
      </c>
      <c r="P47" s="9" t="n">
        <v>4</v>
      </c>
      <c r="Q47" s="9" t="n">
        <v>12</v>
      </c>
      <c r="R47" s="9" t="inlineStr">
        <is>
          <t>https://www.canva.com</t>
        </is>
      </c>
      <c r="S47">
        <f>IF(M47,N47,"")</f>
        <v/>
      </c>
    </row>
    <row r="48">
      <c r="A48" s="9" t="n">
        <v>197</v>
      </c>
      <c r="B48" s="9" t="inlineStr">
        <is>
          <t>Canva AI</t>
        </is>
      </c>
      <c r="C48" s="9" t="inlineStr">
        <is>
          <t>ai-image</t>
        </is>
      </c>
      <c r="D48" s="9" t="inlineStr">
        <is>
          <t>AI Image Generators</t>
        </is>
      </c>
      <c r="E48" s="9" t="n">
        <v>4.7</v>
      </c>
      <c r="F48" s="9" t="n">
        <v>4.7</v>
      </c>
      <c r="G48" s="9" t="n">
        <v>4.7</v>
      </c>
      <c r="H48" s="9" t="n">
        <v>2013</v>
      </c>
      <c r="I48" s="9" t="n">
        <v/>
      </c>
      <c r="J48" s="9" t="b">
        <v>1</v>
      </c>
      <c r="K48" s="9" t="b">
        <v>0</v>
      </c>
      <c r="L48" s="9" t="b">
        <v>0</v>
      </c>
      <c r="M48" s="9" t="b">
        <v>1</v>
      </c>
      <c r="N48" s="9" t="n">
        <v>10</v>
      </c>
      <c r="O48" s="9" t="n">
        <v>15</v>
      </c>
      <c r="P48" s="9" t="n">
        <v>3</v>
      </c>
      <c r="Q48" s="9" t="n">
        <v>11</v>
      </c>
      <c r="R48" s="9" t="inlineStr">
        <is>
          <t>https://canva.com/ai-image-generator</t>
        </is>
      </c>
      <c r="S48">
        <f>IF(M48,N48,"")</f>
        <v/>
      </c>
    </row>
    <row r="49">
      <c r="A49" s="9" t="n">
        <v>230</v>
      </c>
      <c r="B49" s="9" t="inlineStr">
        <is>
          <t>CapCut AI</t>
        </is>
      </c>
      <c r="C49" s="9" t="inlineStr">
        <is>
          <t>ai-video</t>
        </is>
      </c>
      <c r="D49" s="9" t="inlineStr">
        <is>
          <t>AI Video</t>
        </is>
      </c>
      <c r="E49" s="9" t="n">
        <v>4.65</v>
      </c>
      <c r="F49" s="9" t="n">
        <v>4.6</v>
      </c>
      <c r="G49" s="9" t="n">
        <v>4.7</v>
      </c>
      <c r="H49" s="9" t="n">
        <v>2020</v>
      </c>
      <c r="I49" s="9" t="n">
        <v/>
      </c>
      <c r="J49" s="9" t="b">
        <v>1</v>
      </c>
      <c r="K49" s="9" t="b">
        <v>0</v>
      </c>
      <c r="L49" s="9" t="b">
        <v>0</v>
      </c>
      <c r="M49" s="9" t="b">
        <v>1</v>
      </c>
      <c r="N49" s="9" t="n">
        <v>10</v>
      </c>
      <c r="O49" s="9" t="n">
        <v>20</v>
      </c>
      <c r="P49" s="9" t="n">
        <v>3</v>
      </c>
      <c r="Q49" s="9" t="n">
        <v>6</v>
      </c>
      <c r="R49" s="9" t="inlineStr">
        <is>
          <t>https://capcut.com</t>
        </is>
      </c>
      <c r="S49">
        <f>IF(M49,N49,"")</f>
        <v/>
      </c>
    </row>
    <row r="50">
      <c r="A50" s="9" t="n">
        <v>35</v>
      </c>
      <c r="B50" s="9" t="inlineStr">
        <is>
          <t>Capsule CRM</t>
        </is>
      </c>
      <c r="C50" s="9" t="inlineStr">
        <is>
          <t>crm</t>
        </is>
      </c>
      <c r="D50" s="9" t="inlineStr">
        <is>
          <t>CRM</t>
        </is>
      </c>
      <c r="E50" s="9" t="n">
        <v>4.6</v>
      </c>
      <c r="F50" s="9" t="n">
        <v>4.7</v>
      </c>
      <c r="G50" s="9" t="n">
        <v>4.5</v>
      </c>
      <c r="H50" s="9" t="n">
        <v>2009</v>
      </c>
      <c r="I50" s="9" t="inlineStr">
        <is>
          <t>Manchester, UK</t>
        </is>
      </c>
      <c r="J50" s="9" t="b">
        <v>1</v>
      </c>
      <c r="K50" s="9" t="b">
        <v>0</v>
      </c>
      <c r="L50" s="9" t="b">
        <v>0</v>
      </c>
      <c r="M50" s="9" t="b">
        <v>1</v>
      </c>
      <c r="N50" s="9" t="n">
        <v>21</v>
      </c>
      <c r="O50" s="9" t="n">
        <v>75</v>
      </c>
      <c r="P50" s="9" t="n">
        <v>5</v>
      </c>
      <c r="Q50" s="9" t="n">
        <v>12</v>
      </c>
      <c r="R50" s="9" t="inlineStr">
        <is>
          <t>https://capsulecrm.com</t>
        </is>
      </c>
      <c r="S50">
        <f>IF(M50,N50,"")</f>
        <v/>
      </c>
    </row>
    <row r="51">
      <c r="A51" s="9" t="n">
        <v>60</v>
      </c>
      <c r="B51" s="9" t="inlineStr">
        <is>
          <t>Carrd</t>
        </is>
      </c>
      <c r="C51" s="9" t="inlineStr">
        <is>
          <t>website-builders</t>
        </is>
      </c>
      <c r="D51" s="9" t="inlineStr">
        <is>
          <t>Website Builders</t>
        </is>
      </c>
      <c r="E51" s="9" t="n">
        <v>4.55</v>
      </c>
      <c r="F51" s="9" t="n">
        <v>4.5</v>
      </c>
      <c r="G51" s="9" t="n">
        <v>4.6</v>
      </c>
      <c r="H51" s="9" t="n">
        <v>2016</v>
      </c>
      <c r="I51" s="9" t="inlineStr">
        <is>
          <t>Remote</t>
        </is>
      </c>
      <c r="J51" s="9" t="b">
        <v>1</v>
      </c>
      <c r="K51" s="9" t="b">
        <v>0</v>
      </c>
      <c r="L51" s="9" t="b">
        <v>0</v>
      </c>
      <c r="M51" s="9" t="b">
        <v>1</v>
      </c>
      <c r="N51" s="9" t="n">
        <v>9</v>
      </c>
      <c r="O51" s="9" t="n">
        <v>49</v>
      </c>
      <c r="P51" s="9" t="n">
        <v>4</v>
      </c>
      <c r="Q51" s="9" t="n">
        <v>8</v>
      </c>
      <c r="R51" s="9" t="inlineStr">
        <is>
          <t>https://carrd.co</t>
        </is>
      </c>
      <c r="S51">
        <f>IF(M51,N51,"")</f>
        <v/>
      </c>
    </row>
    <row r="52">
      <c r="A52" s="9" t="n">
        <v>211</v>
      </c>
      <c r="B52" s="9" t="inlineStr">
        <is>
          <t>Character.AI</t>
        </is>
      </c>
      <c r="C52" s="9" t="inlineStr">
        <is>
          <t>ai-assistants</t>
        </is>
      </c>
      <c r="D52" s="9" t="inlineStr">
        <is>
          <t>AI Assistants</t>
        </is>
      </c>
      <c r="E52" s="9" t="n">
        <v>4.25</v>
      </c>
      <c r="F52" s="9" t="n">
        <v>4.3</v>
      </c>
      <c r="G52" s="9" t="n">
        <v>4.2</v>
      </c>
      <c r="H52" s="9" t="n">
        <v>2021</v>
      </c>
      <c r="I52" s="9" t="n">
        <v/>
      </c>
      <c r="J52" s="9" t="b">
        <v>1</v>
      </c>
      <c r="K52" s="9" t="b">
        <v>0</v>
      </c>
      <c r="L52" s="9" t="b">
        <v>0</v>
      </c>
      <c r="M52" s="9" t="b">
        <v>1</v>
      </c>
      <c r="N52" s="9" t="n">
        <v>10</v>
      </c>
      <c r="O52" s="9" t="n">
        <v>10</v>
      </c>
      <c r="P52" s="9" t="n">
        <v>2</v>
      </c>
      <c r="Q52" s="9" t="n">
        <v>5</v>
      </c>
      <c r="R52" s="9" t="inlineStr">
        <is>
          <t>https://character.ai</t>
        </is>
      </c>
      <c r="S52">
        <f>IF(M52,N52,"")</f>
        <v/>
      </c>
    </row>
    <row r="53">
      <c r="A53" s="9" t="n">
        <v>151</v>
      </c>
      <c r="B53" s="9" t="inlineStr">
        <is>
          <t>ChatGPT</t>
        </is>
      </c>
      <c r="C53" s="9" t="inlineStr">
        <is>
          <t>llm</t>
        </is>
      </c>
      <c r="D53" s="9" t="inlineStr">
        <is>
          <t>Large Language Models</t>
        </is>
      </c>
      <c r="E53" s="9" t="n">
        <v>4.65</v>
      </c>
      <c r="F53" s="9" t="n">
        <v>4.7</v>
      </c>
      <c r="G53" s="9" t="n">
        <v>4.6</v>
      </c>
      <c r="H53" s="9" t="n">
        <v>2022</v>
      </c>
      <c r="I53" s="9" t="n">
        <v/>
      </c>
      <c r="J53" s="9" t="b">
        <v>1</v>
      </c>
      <c r="K53" s="9" t="b">
        <v>0</v>
      </c>
      <c r="L53" s="9" t="b">
        <v>0</v>
      </c>
      <c r="M53" s="9" t="b">
        <v>1</v>
      </c>
      <c r="N53" s="9" t="n">
        <v>20</v>
      </c>
      <c r="O53" s="9" t="n">
        <v>30</v>
      </c>
      <c r="P53" s="9" t="n">
        <v>3</v>
      </c>
      <c r="Q53" s="9" t="n">
        <v>7</v>
      </c>
      <c r="R53" s="9" t="inlineStr">
        <is>
          <t>https://chatgpt.com</t>
        </is>
      </c>
      <c r="S53">
        <f>IF(M53,N53,"")</f>
        <v/>
      </c>
    </row>
    <row r="54">
      <c r="A54" s="9" t="n">
        <v>257</v>
      </c>
      <c r="B54" s="9" t="inlineStr">
        <is>
          <t>Chatbase</t>
        </is>
      </c>
      <c r="C54" s="9" t="inlineStr">
        <is>
          <t>ai-assistants</t>
        </is>
      </c>
      <c r="D54" s="9" t="inlineStr">
        <is>
          <t>AI Assistants</t>
        </is>
      </c>
      <c r="E54" s="9" t="n">
        <v>4.35</v>
      </c>
      <c r="F54" s="9" t="n">
        <v>4.4</v>
      </c>
      <c r="G54" s="9" t="n">
        <v>4.3</v>
      </c>
      <c r="H54" s="9" t="n">
        <v>2023</v>
      </c>
      <c r="I54" s="9" t="n">
        <v/>
      </c>
      <c r="J54" s="9" t="b">
        <v>1</v>
      </c>
      <c r="K54" s="9" t="b">
        <v>0</v>
      </c>
      <c r="L54" s="9" t="b">
        <v>0</v>
      </c>
      <c r="M54" s="9" t="b">
        <v>1</v>
      </c>
      <c r="N54" s="9" t="n">
        <v>32</v>
      </c>
      <c r="O54" s="9" t="n">
        <v>300</v>
      </c>
      <c r="P54" s="9" t="n">
        <v>4</v>
      </c>
      <c r="Q54" s="9" t="n">
        <v>7</v>
      </c>
      <c r="R54" s="9" t="inlineStr">
        <is>
          <t>https://chatbase.co</t>
        </is>
      </c>
      <c r="S54">
        <f>IF(M54,N54,"")</f>
        <v/>
      </c>
    </row>
    <row r="55">
      <c r="A55" s="9" t="n">
        <v>152</v>
      </c>
      <c r="B55" s="9" t="inlineStr">
        <is>
          <t>Claude</t>
        </is>
      </c>
      <c r="C55" s="9" t="inlineStr">
        <is>
          <t>llm</t>
        </is>
      </c>
      <c r="D55" s="9" t="inlineStr">
        <is>
          <t>Large Language Models</t>
        </is>
      </c>
      <c r="E55" s="9" t="n">
        <v>4.55</v>
      </c>
      <c r="F55" s="9" t="n">
        <v>4.6</v>
      </c>
      <c r="G55" s="9" t="n">
        <v>4.5</v>
      </c>
      <c r="H55" s="9" t="n">
        <v>2023</v>
      </c>
      <c r="I55" s="9" t="n">
        <v/>
      </c>
      <c r="J55" s="9" t="b">
        <v>1</v>
      </c>
      <c r="K55" s="9" t="b">
        <v>0</v>
      </c>
      <c r="L55" s="9" t="b">
        <v>0</v>
      </c>
      <c r="M55" s="9" t="b">
        <v>1</v>
      </c>
      <c r="N55" s="9" t="n">
        <v>20</v>
      </c>
      <c r="O55" s="9" t="n">
        <v>20</v>
      </c>
      <c r="P55" s="9" t="n">
        <v>2</v>
      </c>
      <c r="Q55" s="9" t="n">
        <v>10</v>
      </c>
      <c r="R55" s="9" t="inlineStr">
        <is>
          <t>https://claude.ai</t>
        </is>
      </c>
      <c r="S55">
        <f>IF(M55,N55,"")</f>
        <v/>
      </c>
    </row>
    <row r="56">
      <c r="A56" s="9" t="n">
        <v>241</v>
      </c>
      <c r="B56" s="9" t="inlineStr">
        <is>
          <t>Claude 3.5 Sonnet</t>
        </is>
      </c>
      <c r="C56" s="9" t="inlineStr">
        <is>
          <t>llm</t>
        </is>
      </c>
      <c r="D56" s="9" t="inlineStr">
        <is>
          <t>Large Language Models</t>
        </is>
      </c>
      <c r="E56" s="9" t="n">
        <v>4.6</v>
      </c>
      <c r="F56" s="9" t="n">
        <v>4.7</v>
      </c>
      <c r="G56" s="9" t="n">
        <v>4.5</v>
      </c>
      <c r="H56" s="9" t="n">
        <v>2024</v>
      </c>
      <c r="I56" s="9" t="n">
        <v/>
      </c>
      <c r="J56" s="9" t="b">
        <v>1</v>
      </c>
      <c r="K56" s="9" t="b">
        <v>0</v>
      </c>
      <c r="L56" s="9" t="b">
        <v>0</v>
      </c>
      <c r="M56" s="9" t="b">
        <v>1</v>
      </c>
      <c r="N56" s="9" t="n">
        <v>20</v>
      </c>
      <c r="O56" s="9" t="n">
        <v>30</v>
      </c>
      <c r="P56" s="9" t="n">
        <v>3</v>
      </c>
      <c r="Q56" s="9" t="n">
        <v>16</v>
      </c>
      <c r="R56" s="9" t="inlineStr">
        <is>
          <t>https://claude.ai</t>
        </is>
      </c>
      <c r="S56">
        <f>IF(M56,N56,"")</f>
        <v/>
      </c>
    </row>
    <row r="57">
      <c r="A57" s="9" t="n">
        <v>145</v>
      </c>
      <c r="B57" s="9" t="inlineStr">
        <is>
          <t>ClickFunnels</t>
        </is>
      </c>
      <c r="C57" s="9" t="inlineStr">
        <is>
          <t>website-builders</t>
        </is>
      </c>
      <c r="D57" s="9" t="inlineStr">
        <is>
          <t>Website Builders</t>
        </is>
      </c>
      <c r="E57" s="9" t="n">
        <v>4.25</v>
      </c>
      <c r="F57" s="9" t="n">
        <v>4</v>
      </c>
      <c r="G57" s="9" t="n">
        <v>4.5</v>
      </c>
      <c r="H57" s="9" t="n">
        <v>2014</v>
      </c>
      <c r="I57" s="9" t="inlineStr">
        <is>
          <t>Eagle, ID</t>
        </is>
      </c>
      <c r="J57" s="9" t="b">
        <v>0</v>
      </c>
      <c r="K57" s="9" t="b">
        <v>0</v>
      </c>
      <c r="L57" s="9" t="b">
        <v>0</v>
      </c>
      <c r="M57" s="9" t="b">
        <v>1</v>
      </c>
      <c r="N57" s="9" t="n">
        <v>81</v>
      </c>
      <c r="O57" s="9" t="n">
        <v>248</v>
      </c>
      <c r="P57" s="9" t="n">
        <v>2</v>
      </c>
      <c r="Q57" s="9" t="n">
        <v>13</v>
      </c>
      <c r="R57" s="9" t="inlineStr">
        <is>
          <t>https://www.clickfunnels.com</t>
        </is>
      </c>
      <c r="S57">
        <f>IF(M57,N57,"")</f>
        <v/>
      </c>
    </row>
    <row r="58">
      <c r="A58" s="9" t="n">
        <v>2</v>
      </c>
      <c r="B58" s="9" t="inlineStr">
        <is>
          <t>ClickUp</t>
        </is>
      </c>
      <c r="C58" s="9" t="inlineStr">
        <is>
          <t>project-management</t>
        </is>
      </c>
      <c r="D58" s="9" t="inlineStr">
        <is>
          <t>Project Management</t>
        </is>
      </c>
      <c r="E58" s="9" t="n">
        <v>4.65</v>
      </c>
      <c r="F58" s="9" t="n">
        <v>4.7</v>
      </c>
      <c r="G58" s="9" t="n">
        <v>4.6</v>
      </c>
      <c r="H58" s="9" t="n">
        <v>2017</v>
      </c>
      <c r="I58" s="9" t="inlineStr">
        <is>
          <t>San Diego, CA</t>
        </is>
      </c>
      <c r="J58" s="9" t="b">
        <v>1</v>
      </c>
      <c r="K58" s="9" t="b">
        <v>0</v>
      </c>
      <c r="L58" s="9" t="b">
        <v>1</v>
      </c>
      <c r="M58" s="9" t="b">
        <v>1</v>
      </c>
      <c r="N58" s="9" t="n">
        <v>7</v>
      </c>
      <c r="O58" s="9" t="n">
        <v>12</v>
      </c>
      <c r="P58" s="9" t="n">
        <v>4</v>
      </c>
      <c r="Q58" s="9" t="n">
        <v>17</v>
      </c>
      <c r="R58" s="9" t="inlineStr">
        <is>
          <t>https://clickup.com</t>
        </is>
      </c>
      <c r="S58">
        <f>IF(M58,N58,"")</f>
        <v/>
      </c>
    </row>
    <row r="59">
      <c r="A59" s="9" t="n">
        <v>26</v>
      </c>
      <c r="B59" s="9" t="inlineStr">
        <is>
          <t>Close</t>
        </is>
      </c>
      <c r="C59" s="9" t="inlineStr">
        <is>
          <t>crm</t>
        </is>
      </c>
      <c r="D59" s="9" t="inlineStr">
        <is>
          <t>CRM</t>
        </is>
      </c>
      <c r="E59" s="9" t="n">
        <v>4.7</v>
      </c>
      <c r="F59" s="9" t="n">
        <v>4.7</v>
      </c>
      <c r="G59" s="9" t="n">
        <v>4.7</v>
      </c>
      <c r="H59" s="9" t="n">
        <v>2013</v>
      </c>
      <c r="I59" s="9" t="inlineStr">
        <is>
          <t>San Francisco, CA</t>
        </is>
      </c>
      <c r="J59" s="9" t="b">
        <v>0</v>
      </c>
      <c r="K59" s="9" t="b">
        <v>0</v>
      </c>
      <c r="L59" s="9" t="b">
        <v>0</v>
      </c>
      <c r="M59" s="9" t="b">
        <v>1</v>
      </c>
      <c r="N59" s="9" t="n">
        <v>49</v>
      </c>
      <c r="O59" s="9" t="n">
        <v>139</v>
      </c>
      <c r="P59" s="9" t="n">
        <v>3</v>
      </c>
      <c r="Q59" s="9" t="n">
        <v>10</v>
      </c>
      <c r="R59" s="9" t="inlineStr">
        <is>
          <t>https://close.com</t>
        </is>
      </c>
      <c r="S59">
        <f>IF(M59,N59,"")</f>
        <v/>
      </c>
    </row>
    <row r="60">
      <c r="A60" s="9" t="n">
        <v>72</v>
      </c>
      <c r="B60" s="9" t="inlineStr">
        <is>
          <t>Cloudways</t>
        </is>
      </c>
      <c r="C60" s="9" t="inlineStr">
        <is>
          <t>cloud-hosting</t>
        </is>
      </c>
      <c r="D60" s="9" t="inlineStr">
        <is>
          <t>Cloud Hosting</t>
        </is>
      </c>
      <c r="E60" s="9" t="n">
        <v>4.6</v>
      </c>
      <c r="F60" s="9" t="n">
        <v>4.5</v>
      </c>
      <c r="G60" s="9" t="n">
        <v>4.7</v>
      </c>
      <c r="H60" s="9" t="n">
        <v>2011</v>
      </c>
      <c r="I60" s="9" t="inlineStr">
        <is>
          <t>Dubai, UAE (DigitalOcean)</t>
        </is>
      </c>
      <c r="J60" s="9" t="b">
        <v>0</v>
      </c>
      <c r="K60" s="9" t="b">
        <v>0</v>
      </c>
      <c r="L60" s="9" t="b">
        <v>0</v>
      </c>
      <c r="M60" s="9" t="b">
        <v>1</v>
      </c>
      <c r="N60" s="9" t="n">
        <v>14</v>
      </c>
      <c r="O60" s="9" t="n">
        <v>54</v>
      </c>
      <c r="P60" s="9" t="n">
        <v>4</v>
      </c>
      <c r="Q60" s="9" t="n">
        <v>20</v>
      </c>
      <c r="R60" s="9" t="inlineStr">
        <is>
          <t>https://www.cloudways.com</t>
        </is>
      </c>
      <c r="S60">
        <f>IF(M60,N60,"")</f>
        <v/>
      </c>
    </row>
    <row r="61">
      <c r="A61" s="9" t="n">
        <v>17</v>
      </c>
      <c r="B61" s="9" t="inlineStr">
        <is>
          <t>Coda</t>
        </is>
      </c>
      <c r="C61" s="9" t="inlineStr">
        <is>
          <t>project-management</t>
        </is>
      </c>
      <c r="D61" s="9" t="inlineStr">
        <is>
          <t>Project Management</t>
        </is>
      </c>
      <c r="E61" s="9" t="n">
        <v>4.65</v>
      </c>
      <c r="F61" s="9" t="n">
        <v>4.7</v>
      </c>
      <c r="G61" s="9" t="n">
        <v>4.6</v>
      </c>
      <c r="H61" s="9" t="n">
        <v>2014</v>
      </c>
      <c r="I61" s="9" t="inlineStr">
        <is>
          <t>Mountain View, CA</t>
        </is>
      </c>
      <c r="J61" s="9" t="b">
        <v>1</v>
      </c>
      <c r="K61" s="9" t="b">
        <v>0</v>
      </c>
      <c r="L61" s="9" t="b">
        <v>1</v>
      </c>
      <c r="M61" s="9" t="b">
        <v>1</v>
      </c>
      <c r="N61" s="9" t="n">
        <v>10</v>
      </c>
      <c r="O61" s="9" t="n">
        <v>30</v>
      </c>
      <c r="P61" s="9" t="n">
        <v>4</v>
      </c>
      <c r="Q61" s="9" t="n">
        <v>14</v>
      </c>
      <c r="R61" s="9" t="inlineStr">
        <is>
          <t>https://coda.io</t>
        </is>
      </c>
      <c r="S61">
        <f>IF(M61,N61,"")</f>
        <v/>
      </c>
    </row>
    <row r="62">
      <c r="A62" s="9" t="n">
        <v>178</v>
      </c>
      <c r="B62" s="9" t="inlineStr">
        <is>
          <t>Codeium</t>
        </is>
      </c>
      <c r="C62" s="9" t="inlineStr">
        <is>
          <t>ai-coding</t>
        </is>
      </c>
      <c r="D62" s="9" t="inlineStr">
        <is>
          <t>AI Coding</t>
        </is>
      </c>
      <c r="E62" s="9" t="n">
        <v>4.55</v>
      </c>
      <c r="F62" s="9" t="n">
        <v>4.6</v>
      </c>
      <c r="G62" s="9" t="n">
        <v>4.5</v>
      </c>
      <c r="H62" s="9" t="n">
        <v>2022</v>
      </c>
      <c r="I62" s="9" t="n">
        <v/>
      </c>
      <c r="J62" s="9" t="b">
        <v>1</v>
      </c>
      <c r="K62" s="9" t="b">
        <v>0</v>
      </c>
      <c r="L62" s="9" t="b">
        <v>1</v>
      </c>
      <c r="M62" s="9" t="b">
        <v>1</v>
      </c>
      <c r="N62" s="9" t="n">
        <v>20</v>
      </c>
      <c r="O62" s="9" t="n">
        <v>40</v>
      </c>
      <c r="P62" s="9" t="n">
        <v>4</v>
      </c>
      <c r="Q62" s="9" t="n">
        <v>5</v>
      </c>
      <c r="R62" s="9" t="inlineStr">
        <is>
          <t>https://windsurf.com</t>
        </is>
      </c>
      <c r="S62">
        <f>IF(M62,N62,"")</f>
        <v/>
      </c>
    </row>
    <row r="63">
      <c r="A63" s="9" t="n">
        <v>215</v>
      </c>
      <c r="B63" s="9" t="inlineStr">
        <is>
          <t>Cohere</t>
        </is>
      </c>
      <c r="C63" s="9" t="inlineStr">
        <is>
          <t>llm</t>
        </is>
      </c>
      <c r="D63" s="9" t="inlineStr">
        <is>
          <t>Large Language Models</t>
        </is>
      </c>
      <c r="E63" s="9" t="n">
        <v>4.45</v>
      </c>
      <c r="F63" s="9" t="n">
        <v>4.5</v>
      </c>
      <c r="G63" s="9" t="n">
        <v>4.4</v>
      </c>
      <c r="H63" s="9" t="n">
        <v>2019</v>
      </c>
      <c r="I63" s="9" t="n">
        <v/>
      </c>
      <c r="J63" s="9" t="b">
        <v>1</v>
      </c>
      <c r="K63" s="9" t="b">
        <v>0</v>
      </c>
      <c r="L63" s="9" t="b">
        <v>1</v>
      </c>
      <c r="M63" s="9" t="b">
        <v>1</v>
      </c>
      <c r="N63" s="9" t="n">
        <v/>
      </c>
      <c r="O63" s="9" t="n">
        <v>0</v>
      </c>
      <c r="P63" s="9" t="n">
        <v>3</v>
      </c>
      <c r="Q63" s="9" t="n">
        <v>8</v>
      </c>
      <c r="R63" s="9" t="inlineStr">
        <is>
          <t>https://cohere.com</t>
        </is>
      </c>
      <c r="S63">
        <f>IF(M63,N63,"")</f>
        <v/>
      </c>
    </row>
    <row r="64">
      <c r="A64" s="9" t="n">
        <v>291</v>
      </c>
      <c r="B64" s="9" t="inlineStr">
        <is>
          <t>CoinGecko</t>
        </is>
      </c>
      <c r="C64" s="9" t="inlineStr">
        <is>
          <t>crypto-portfolio-trackers</t>
        </is>
      </c>
      <c r="D64" s="9" t="inlineStr">
        <is>
          <t>Crypto Portfolio Trackers</t>
        </is>
      </c>
      <c r="E64" s="9" t="n">
        <v>4.7</v>
      </c>
      <c r="F64" s="9" t="n">
        <v>4.7</v>
      </c>
      <c r="G64" s="9" t="n">
        <v/>
      </c>
      <c r="H64" s="9" t="n">
        <v>2014</v>
      </c>
      <c r="I64" s="9" t="inlineStr">
        <is>
          <t>Kuala Lumpur, Malaysia</t>
        </is>
      </c>
      <c r="J64" s="9" t="b">
        <v>1</v>
      </c>
      <c r="K64" s="9" t="b">
        <v>0</v>
      </c>
      <c r="L64" s="9" t="b">
        <v>0</v>
      </c>
      <c r="M64" s="9" t="b">
        <v>1</v>
      </c>
      <c r="N64" s="9" t="n">
        <v>7.49</v>
      </c>
      <c r="O64" s="9" t="n">
        <v>7.49</v>
      </c>
      <c r="P64" s="9" t="n">
        <v>2</v>
      </c>
      <c r="Q64" s="9" t="n">
        <v>5</v>
      </c>
      <c r="R64" s="9" t="inlineStr">
        <is>
          <t>https://www.coingecko.com</t>
        </is>
      </c>
      <c r="S64">
        <f>IF(M64,N64,"")</f>
        <v/>
      </c>
    </row>
    <row r="65">
      <c r="A65" s="9" t="n">
        <v>273</v>
      </c>
      <c r="B65" s="9" t="inlineStr">
        <is>
          <t>CoinGlass</t>
        </is>
      </c>
      <c r="C65" s="9" t="inlineStr">
        <is>
          <t>crypto-analytics</t>
        </is>
      </c>
      <c r="D65" s="9" t="inlineStr">
        <is>
          <t>Crypto Analytics</t>
        </is>
      </c>
      <c r="E65" s="9" t="n">
        <v>4.4</v>
      </c>
      <c r="F65" s="9" t="n">
        <v>4.4</v>
      </c>
      <c r="G65" s="9" t="n">
        <v/>
      </c>
      <c r="H65" s="9" t="n">
        <v>2020</v>
      </c>
      <c r="I65" s="9" t="inlineStr">
        <is>
          <t>Unknown</t>
        </is>
      </c>
      <c r="J65" s="9" t="b">
        <v>1</v>
      </c>
      <c r="K65" s="9" t="b">
        <v>0</v>
      </c>
      <c r="L65" s="9" t="b">
        <v>0</v>
      </c>
      <c r="M65" s="9" t="b">
        <v>1</v>
      </c>
      <c r="N65" s="9" t="n">
        <v>29</v>
      </c>
      <c r="O65" s="9" t="n">
        <v>79</v>
      </c>
      <c r="P65" s="9" t="n">
        <v>3</v>
      </c>
      <c r="Q65" s="9" t="n">
        <v>2</v>
      </c>
      <c r="R65" s="9" t="inlineStr">
        <is>
          <t>https://www.coinglass.com</t>
        </is>
      </c>
      <c r="S65">
        <f>IF(M65,N65,"")</f>
        <v/>
      </c>
    </row>
    <row r="66">
      <c r="A66" s="9" t="n">
        <v>285</v>
      </c>
      <c r="B66" s="9" t="inlineStr">
        <is>
          <t>CoinLedger</t>
        </is>
      </c>
      <c r="C66" s="9" t="inlineStr">
        <is>
          <t>crypto-tax</t>
        </is>
      </c>
      <c r="D66" s="9" t="inlineStr">
        <is>
          <t>Crypto Tax</t>
        </is>
      </c>
      <c r="E66" s="9" t="n">
        <v>4.25</v>
      </c>
      <c r="F66" s="9" t="n">
        <v>4.2</v>
      </c>
      <c r="G66" s="9" t="n">
        <v>4.3</v>
      </c>
      <c r="H66" s="9" t="n">
        <v>2018</v>
      </c>
      <c r="I66" s="9" t="inlineStr">
        <is>
          <t>Indianapolis, USA</t>
        </is>
      </c>
      <c r="J66" s="9" t="b">
        <v>1</v>
      </c>
      <c r="K66" s="9" t="b">
        <v>0</v>
      </c>
      <c r="L66" s="9" t="b">
        <v>0</v>
      </c>
      <c r="M66" s="9" t="b">
        <v>1</v>
      </c>
      <c r="N66" s="9" t="n">
        <v>49</v>
      </c>
      <c r="O66" s="9" t="n">
        <v>199</v>
      </c>
      <c r="P66" s="9" t="n">
        <v>4</v>
      </c>
      <c r="Q66" s="9" t="n">
        <v>4</v>
      </c>
      <c r="R66" s="9" t="inlineStr">
        <is>
          <t>https://coinledger.io</t>
        </is>
      </c>
      <c r="S66">
        <f>IF(M66,N66,"")</f>
        <v/>
      </c>
    </row>
    <row r="67">
      <c r="A67" s="9" t="n">
        <v>287</v>
      </c>
      <c r="B67" s="9" t="inlineStr">
        <is>
          <t>CoinStats</t>
        </is>
      </c>
      <c r="C67" s="9" t="inlineStr">
        <is>
          <t>crypto-portfolio-trackers</t>
        </is>
      </c>
      <c r="D67" s="9" t="inlineStr">
        <is>
          <t>Crypto Portfolio Trackers</t>
        </is>
      </c>
      <c r="E67" s="9" t="n">
        <v>4.4</v>
      </c>
      <c r="F67" s="9" t="n">
        <v>4.4</v>
      </c>
      <c r="G67" s="9" t="n">
        <v/>
      </c>
      <c r="H67" s="9" t="n">
        <v>2017</v>
      </c>
      <c r="I67" s="9" t="inlineStr">
        <is>
          <t>Yerevan, Armenia</t>
        </is>
      </c>
      <c r="J67" s="9" t="b">
        <v>1</v>
      </c>
      <c r="K67" s="9" t="b">
        <v>0</v>
      </c>
      <c r="L67" s="9" t="b">
        <v>0</v>
      </c>
      <c r="M67" s="9" t="b">
        <v>1</v>
      </c>
      <c r="N67" s="9" t="n">
        <v>13.99</v>
      </c>
      <c r="O67" s="9" t="n">
        <v>13.99</v>
      </c>
      <c r="P67" s="9" t="n">
        <v>2</v>
      </c>
      <c r="Q67" s="9" t="n">
        <v>12</v>
      </c>
      <c r="R67" s="9" t="inlineStr">
        <is>
          <t>https://coinstats.app</t>
        </is>
      </c>
      <c r="S67">
        <f>IF(M67,N67,"")</f>
        <v/>
      </c>
    </row>
    <row r="68">
      <c r="A68" s="9" t="n">
        <v>282</v>
      </c>
      <c r="B68" s="9" t="inlineStr">
        <is>
          <t>CoinTracker</t>
        </is>
      </c>
      <c r="C68" s="9" t="inlineStr">
        <is>
          <t>crypto-tax</t>
        </is>
      </c>
      <c r="D68" s="9" t="inlineStr">
        <is>
          <t>Crypto Tax</t>
        </is>
      </c>
      <c r="E68" s="9" t="n">
        <v>4.15</v>
      </c>
      <c r="F68" s="9" t="n">
        <v>4.1</v>
      </c>
      <c r="G68" s="9" t="n">
        <v>4.2</v>
      </c>
      <c r="H68" s="9" t="n">
        <v>2017</v>
      </c>
      <c r="I68" s="9" t="inlineStr">
        <is>
          <t>San Francisco, USA</t>
        </is>
      </c>
      <c r="J68" s="9" t="b">
        <v>1</v>
      </c>
      <c r="K68" s="9" t="b">
        <v>0</v>
      </c>
      <c r="L68" s="9" t="b">
        <v>0</v>
      </c>
      <c r="M68" s="9" t="b">
        <v>1</v>
      </c>
      <c r="N68" s="9" t="n">
        <v>59</v>
      </c>
      <c r="O68" s="9" t="n">
        <v>599</v>
      </c>
      <c r="P68" s="9" t="n">
        <v>4</v>
      </c>
      <c r="Q68" s="9" t="n">
        <v>7</v>
      </c>
      <c r="R68" s="9" t="inlineStr">
        <is>
          <t>https://www.cointracker.io</t>
        </is>
      </c>
      <c r="S68">
        <f>IF(M68,N68,"")</f>
        <v/>
      </c>
    </row>
    <row r="69">
      <c r="A69" s="9" t="n">
        <v>298</v>
      </c>
      <c r="B69" s="9" t="inlineStr">
        <is>
          <t>Coinbase</t>
        </is>
      </c>
      <c r="C69" s="9" t="inlineStr">
        <is>
          <t>crypto-exchanges</t>
        </is>
      </c>
      <c r="D69" s="9" t="inlineStr">
        <is>
          <t>Crypto Exchanges</t>
        </is>
      </c>
      <c r="E69" s="9" t="n">
        <v>4.05</v>
      </c>
      <c r="F69" s="9" t="n">
        <v>4.1</v>
      </c>
      <c r="G69" s="9" t="n">
        <v>4</v>
      </c>
      <c r="H69" s="9" t="n">
        <v>2012</v>
      </c>
      <c r="I69" s="9" t="inlineStr">
        <is>
          <t>San Francisco, USA</t>
        </is>
      </c>
      <c r="J69" s="9" t="b">
        <v>1</v>
      </c>
      <c r="K69" s="9" t="b">
        <v>0</v>
      </c>
      <c r="L69" s="9" t="b">
        <v>0</v>
      </c>
      <c r="M69" s="9" t="b">
        <v>1</v>
      </c>
      <c r="N69" s="9" t="n">
        <v>29.99</v>
      </c>
      <c r="O69" s="9" t="n">
        <v>29.99</v>
      </c>
      <c r="P69" s="9" t="n">
        <v>3</v>
      </c>
      <c r="Q69" s="9" t="n">
        <v>10</v>
      </c>
      <c r="R69" s="9" t="inlineStr">
        <is>
          <t>https://www.coinbase.com</t>
        </is>
      </c>
      <c r="S69">
        <f>IF(M69,N69,"")</f>
        <v/>
      </c>
    </row>
    <row r="70">
      <c r="A70" s="9" t="n">
        <v>320</v>
      </c>
      <c r="B70" s="9" t="inlineStr">
        <is>
          <t>Coinbase Wallet</t>
        </is>
      </c>
      <c r="C70" s="9" t="inlineStr">
        <is>
          <t>crypto-wallets</t>
        </is>
      </c>
      <c r="D70" s="9" t="inlineStr">
        <is>
          <t>Crypto Wallets</t>
        </is>
      </c>
      <c r="E70" s="9" t="n">
        <v>4.1</v>
      </c>
      <c r="F70" s="9" t="n">
        <v>4.1</v>
      </c>
      <c r="G70" s="9" t="n">
        <v/>
      </c>
      <c r="H70" s="9" t="n">
        <v>2018</v>
      </c>
      <c r="I70" s="9" t="inlineStr">
        <is>
          <t>San Francisco, USA</t>
        </is>
      </c>
      <c r="J70" s="9" t="b">
        <v>1</v>
      </c>
      <c r="K70" s="9" t="b">
        <v>0</v>
      </c>
      <c r="L70" s="9" t="b">
        <v>0</v>
      </c>
      <c r="M70" s="9" t="b">
        <v>1</v>
      </c>
      <c r="N70" s="9" t="n">
        <v/>
      </c>
      <c r="O70" s="9" t="n">
        <v>0</v>
      </c>
      <c r="P70" s="9" t="n">
        <v>1</v>
      </c>
      <c r="Q70" s="9" t="n">
        <v>12</v>
      </c>
      <c r="R70" s="9" t="inlineStr">
        <is>
          <t>https://www.coinbase.com/wallet</t>
        </is>
      </c>
      <c r="S70">
        <f>IF(M70,N70,"")</f>
        <v/>
      </c>
    </row>
    <row r="71">
      <c r="A71" s="9" t="n">
        <v>248</v>
      </c>
      <c r="B71" s="9" t="inlineStr">
        <is>
          <t>Command R+</t>
        </is>
      </c>
      <c r="C71" s="9" t="inlineStr">
        <is>
          <t>llm</t>
        </is>
      </c>
      <c r="D71" s="9" t="inlineStr">
        <is>
          <t>Large Language Models</t>
        </is>
      </c>
      <c r="E71" s="9" t="n">
        <v>4.25</v>
      </c>
      <c r="F71" s="9" t="n">
        <v>4.3</v>
      </c>
      <c r="G71" s="9" t="n">
        <v>4.2</v>
      </c>
      <c r="H71" s="9" t="n">
        <v>2024</v>
      </c>
      <c r="I71" s="9" t="n">
        <v/>
      </c>
      <c r="J71" s="9" t="b">
        <v>1</v>
      </c>
      <c r="K71" s="9" t="b">
        <v>0</v>
      </c>
      <c r="L71" s="9" t="b">
        <v>0</v>
      </c>
      <c r="M71" s="9" t="b">
        <v>1</v>
      </c>
      <c r="N71" s="9" t="n">
        <v/>
      </c>
      <c r="O71" s="9" t="n">
        <v>0</v>
      </c>
      <c r="P71" s="9" t="n">
        <v>2</v>
      </c>
      <c r="Q71" s="9" t="n">
        <v>15</v>
      </c>
      <c r="R71" s="9" t="inlineStr">
        <is>
          <t>https://cohere.com</t>
        </is>
      </c>
      <c r="S71">
        <f>IF(M71,N71,"")</f>
        <v/>
      </c>
    </row>
    <row r="72">
      <c r="A72" s="9" t="n">
        <v>218</v>
      </c>
      <c r="B72" s="9" t="inlineStr">
        <is>
          <t>Consensus</t>
        </is>
      </c>
      <c r="C72" s="9" t="inlineStr">
        <is>
          <t>ai-productivity</t>
        </is>
      </c>
      <c r="D72" s="9" t="inlineStr">
        <is>
          <t>AI Productivity</t>
        </is>
      </c>
      <c r="E72" s="9" t="n">
        <v>4.55</v>
      </c>
      <c r="F72" s="9" t="n">
        <v>4.6</v>
      </c>
      <c r="G72" s="9" t="n">
        <v>4.5</v>
      </c>
      <c r="H72" s="9" t="n">
        <v>2022</v>
      </c>
      <c r="I72" s="9" t="n">
        <v/>
      </c>
      <c r="J72" s="9" t="b">
        <v>1</v>
      </c>
      <c r="K72" s="9" t="b">
        <v>0</v>
      </c>
      <c r="L72" s="9" t="b">
        <v>1</v>
      </c>
      <c r="M72" s="9" t="b">
        <v>1</v>
      </c>
      <c r="N72" s="9" t="n">
        <v>10</v>
      </c>
      <c r="O72" s="9" t="n">
        <v>10</v>
      </c>
      <c r="P72" s="9" t="n">
        <v>3</v>
      </c>
      <c r="Q72" s="9" t="n">
        <v>6</v>
      </c>
      <c r="R72" s="9" t="inlineStr">
        <is>
          <t>https://consensus.app</t>
        </is>
      </c>
      <c r="S72">
        <f>IF(M72,N72,"")</f>
        <v/>
      </c>
    </row>
    <row r="73">
      <c r="A73" s="9" t="n">
        <v>45</v>
      </c>
      <c r="B73" s="9" t="inlineStr">
        <is>
          <t>Constant Contact</t>
        </is>
      </c>
      <c r="C73" s="9" t="inlineStr">
        <is>
          <t>email-marketing</t>
        </is>
      </c>
      <c r="D73" s="9" t="inlineStr">
        <is>
          <t>Email Marketing</t>
        </is>
      </c>
      <c r="E73" s="9" t="n">
        <v>4.15</v>
      </c>
      <c r="F73" s="9" t="n">
        <v>4</v>
      </c>
      <c r="G73" s="9" t="n">
        <v>4.3</v>
      </c>
      <c r="H73" s="9" t="n">
        <v>1995</v>
      </c>
      <c r="I73" s="9" t="inlineStr">
        <is>
          <t>Waltham, MA</t>
        </is>
      </c>
      <c r="J73" s="9" t="b">
        <v>0</v>
      </c>
      <c r="K73" s="9" t="b">
        <v>0</v>
      </c>
      <c r="L73" s="9" t="b">
        <v>0</v>
      </c>
      <c r="M73" s="9" t="b">
        <v>1</v>
      </c>
      <c r="N73" s="9" t="n">
        <v>12</v>
      </c>
      <c r="O73" s="9" t="n">
        <v>80</v>
      </c>
      <c r="P73" s="9" t="n">
        <v>3</v>
      </c>
      <c r="Q73" s="9" t="n">
        <v>15</v>
      </c>
      <c r="R73" s="9" t="inlineStr">
        <is>
          <t>https://www.constantcontact.com</t>
        </is>
      </c>
      <c r="S73">
        <f>IF(M73,N73,"")</f>
        <v/>
      </c>
    </row>
    <row r="74">
      <c r="A74" s="9" t="n">
        <v>27</v>
      </c>
      <c r="B74" s="9" t="inlineStr">
        <is>
          <t>Copper</t>
        </is>
      </c>
      <c r="C74" s="9" t="inlineStr">
        <is>
          <t>crm</t>
        </is>
      </c>
      <c r="D74" s="9" t="inlineStr">
        <is>
          <t>CRM</t>
        </is>
      </c>
      <c r="E74" s="9" t="n">
        <v>4.45</v>
      </c>
      <c r="F74" s="9" t="n">
        <v>4.5</v>
      </c>
      <c r="G74" s="9" t="n">
        <v>4.4</v>
      </c>
      <c r="H74" s="9" t="n">
        <v>2013</v>
      </c>
      <c r="I74" s="9" t="inlineStr">
        <is>
          <t>San Francisco, CA</t>
        </is>
      </c>
      <c r="J74" s="9" t="b">
        <v>0</v>
      </c>
      <c r="K74" s="9" t="b">
        <v>0</v>
      </c>
      <c r="L74" s="9" t="b">
        <v>0</v>
      </c>
      <c r="M74" s="9" t="b">
        <v>1</v>
      </c>
      <c r="N74" s="9" t="n">
        <v>12</v>
      </c>
      <c r="O74" s="9" t="n">
        <v>134</v>
      </c>
      <c r="P74" s="9" t="n">
        <v>4</v>
      </c>
      <c r="Q74" s="9" t="n">
        <v>9</v>
      </c>
      <c r="R74" s="9" t="inlineStr">
        <is>
          <t>https://www.copper.com</t>
        </is>
      </c>
      <c r="S74">
        <f>IF(M74,N74,"")</f>
        <v/>
      </c>
    </row>
    <row r="75">
      <c r="A75" s="9" t="n">
        <v>155</v>
      </c>
      <c r="B75" s="9" t="inlineStr">
        <is>
          <t>Copy.ai</t>
        </is>
      </c>
      <c r="C75" s="9" t="inlineStr">
        <is>
          <t>ai-writing</t>
        </is>
      </c>
      <c r="D75" s="9" t="inlineStr">
        <is>
          <t>AI Writing</t>
        </is>
      </c>
      <c r="E75" s="9" t="n">
        <v>4.6</v>
      </c>
      <c r="F75" s="9" t="n">
        <v>4.7</v>
      </c>
      <c r="G75" s="9" t="n">
        <v>4.5</v>
      </c>
      <c r="H75" s="9" t="n">
        <v>2020</v>
      </c>
      <c r="I75" s="9" t="n">
        <v/>
      </c>
      <c r="J75" s="9" t="b">
        <v>0</v>
      </c>
      <c r="K75" s="9" t="b">
        <v>0</v>
      </c>
      <c r="L75" s="9" t="b">
        <v>1</v>
      </c>
      <c r="M75" s="9" t="b">
        <v>1</v>
      </c>
      <c r="N75" s="9" t="n">
        <v>1000</v>
      </c>
      <c r="O75" s="9" t="n">
        <v>3000</v>
      </c>
      <c r="P75" s="9" t="n">
        <v>4</v>
      </c>
      <c r="Q75" s="9" t="n">
        <v>10</v>
      </c>
      <c r="R75" s="9" t="inlineStr">
        <is>
          <t>https://www.copy.ai</t>
        </is>
      </c>
      <c r="S75">
        <f>IF(M75,N75,"")</f>
        <v/>
      </c>
    </row>
    <row r="76">
      <c r="A76" s="9" t="n">
        <v>195</v>
      </c>
      <c r="B76" s="9" t="inlineStr">
        <is>
          <t>Copysmith</t>
        </is>
      </c>
      <c r="C76" s="9" t="inlineStr">
        <is>
          <t>ai-writing</t>
        </is>
      </c>
      <c r="D76" s="9" t="inlineStr">
        <is>
          <t>AI Writing</t>
        </is>
      </c>
      <c r="E76" s="9" t="n">
        <v>4.35</v>
      </c>
      <c r="F76" s="9" t="n">
        <v>4.4</v>
      </c>
      <c r="G76" s="9" t="n">
        <v>4.3</v>
      </c>
      <c r="H76" s="9" t="n">
        <v>2020</v>
      </c>
      <c r="I76" s="9" t="n">
        <v/>
      </c>
      <c r="J76" s="9" t="b">
        <v>0</v>
      </c>
      <c r="K76" s="9" t="b">
        <v>0</v>
      </c>
      <c r="L76" s="9" t="b">
        <v>1</v>
      </c>
      <c r="M76" s="9" t="b">
        <v>1</v>
      </c>
      <c r="N76" s="9" t="n">
        <v>19</v>
      </c>
      <c r="O76" s="9" t="n">
        <v>49</v>
      </c>
      <c r="P76" s="9" t="n">
        <v>3</v>
      </c>
      <c r="Q76" s="9" t="n">
        <v>11</v>
      </c>
      <c r="R76" s="9" t="inlineStr">
        <is>
          <t>https://copysmith.ai</t>
        </is>
      </c>
      <c r="S76">
        <f>IF(M76,N76,"")</f>
        <v/>
      </c>
    </row>
    <row r="77">
      <c r="A77" s="9" t="n">
        <v>150</v>
      </c>
      <c r="B77" s="9" t="inlineStr">
        <is>
          <t>CorelDRAW</t>
        </is>
      </c>
      <c r="C77" s="9" t="inlineStr">
        <is>
          <t>design-tools</t>
        </is>
      </c>
      <c r="D77" s="9" t="inlineStr">
        <is>
          <t>Design Tools</t>
        </is>
      </c>
      <c r="E77" s="9" t="n">
        <v>4.4</v>
      </c>
      <c r="F77" s="9" t="n">
        <v>4.3</v>
      </c>
      <c r="G77" s="9" t="n">
        <v>4.5</v>
      </c>
      <c r="H77" s="9" t="n">
        <v>1989</v>
      </c>
      <c r="I77" s="9" t="inlineStr">
        <is>
          <t>Ottawa, Canada</t>
        </is>
      </c>
      <c r="J77" s="9" t="b">
        <v>0</v>
      </c>
      <c r="K77" s="9" t="b">
        <v>0</v>
      </c>
      <c r="L77" s="9" t="b">
        <v>0</v>
      </c>
      <c r="M77" s="9" t="b">
        <v>1</v>
      </c>
      <c r="N77" s="9" t="n">
        <v>33.5</v>
      </c>
      <c r="O77" s="9" t="n">
        <v>779</v>
      </c>
      <c r="P77" s="9" t="n">
        <v>3</v>
      </c>
      <c r="Q77" s="9" t="n">
        <v>4</v>
      </c>
      <c r="R77" s="9" t="inlineStr">
        <is>
          <t>https://www.coreldraw.com</t>
        </is>
      </c>
      <c r="S77">
        <f>IF(M77,N77,"")</f>
        <v/>
      </c>
    </row>
    <row r="78">
      <c r="A78" s="9" t="n">
        <v>269</v>
      </c>
      <c r="B78" s="9" t="inlineStr">
        <is>
          <t>Cornix</t>
        </is>
      </c>
      <c r="C78" s="9" t="inlineStr">
        <is>
          <t>crypto-trading-bots</t>
        </is>
      </c>
      <c r="D78" s="9" t="inlineStr">
        <is>
          <t>Crypto Trading Bots</t>
        </is>
      </c>
      <c r="E78" s="9" t="n">
        <v>4.1</v>
      </c>
      <c r="F78" s="9" t="n">
        <v>4.1</v>
      </c>
      <c r="G78" s="9" t="n">
        <v/>
      </c>
      <c r="H78" s="9" t="n">
        <v>2019</v>
      </c>
      <c r="I78" s="9" t="inlineStr">
        <is>
          <t>Israel</t>
        </is>
      </c>
      <c r="J78" s="9" t="b">
        <v>1</v>
      </c>
      <c r="K78" s="9" t="b">
        <v>0</v>
      </c>
      <c r="L78" s="9" t="b">
        <v>0</v>
      </c>
      <c r="M78" s="9" t="b">
        <v>1</v>
      </c>
      <c r="N78" s="9" t="n">
        <v>19</v>
      </c>
      <c r="O78" s="9" t="n">
        <v>59</v>
      </c>
      <c r="P78" s="9" t="n">
        <v>4</v>
      </c>
      <c r="Q78" s="9" t="n">
        <v>6</v>
      </c>
      <c r="R78" s="9" t="inlineStr">
        <is>
          <t>https://www.cornix.io</t>
        </is>
      </c>
      <c r="S78">
        <f>IF(M78,N78,"")</f>
        <v/>
      </c>
    </row>
    <row r="79">
      <c r="A79" s="9" t="n">
        <v>251</v>
      </c>
      <c r="B79" s="9" t="inlineStr">
        <is>
          <t>CrewAI</t>
        </is>
      </c>
      <c r="C79" s="9" t="inlineStr">
        <is>
          <t>ai-agents</t>
        </is>
      </c>
      <c r="D79" s="9" t="inlineStr">
        <is>
          <t>AI Agents</t>
        </is>
      </c>
      <c r="E79" s="9" t="n">
        <v>4.15</v>
      </c>
      <c r="F79" s="9" t="n">
        <v>4.2</v>
      </c>
      <c r="G79" s="9" t="n">
        <v>4.1</v>
      </c>
      <c r="H79" s="9" t="n">
        <v>2024</v>
      </c>
      <c r="I79" s="9" t="n">
        <v/>
      </c>
      <c r="J79" s="9" t="b">
        <v>1</v>
      </c>
      <c r="K79" s="9" t="b">
        <v>0</v>
      </c>
      <c r="L79" s="9" t="b">
        <v>0</v>
      </c>
      <c r="M79" s="9" t="b">
        <v>1</v>
      </c>
      <c r="N79" s="9" t="n">
        <v/>
      </c>
      <c r="O79" s="9" t="n">
        <v>0</v>
      </c>
      <c r="P79" s="9" t="n">
        <v>2</v>
      </c>
      <c r="Q79" s="9" t="n">
        <v>17</v>
      </c>
      <c r="R79" s="9" t="inlineStr">
        <is>
          <t>https://crewai.com</t>
        </is>
      </c>
      <c r="S79">
        <f>IF(M79,N79,"")</f>
        <v/>
      </c>
    </row>
    <row r="80">
      <c r="A80" s="9" t="n">
        <v>266</v>
      </c>
      <c r="B80" s="9" t="inlineStr">
        <is>
          <t>Cryptohopper</t>
        </is>
      </c>
      <c r="C80" s="9" t="inlineStr">
        <is>
          <t>crypto-trading-bots</t>
        </is>
      </c>
      <c r="D80" s="9" t="inlineStr">
        <is>
          <t>Crypto Trading Bots</t>
        </is>
      </c>
      <c r="E80" s="9" t="n">
        <v>4</v>
      </c>
      <c r="F80" s="9" t="n">
        <v>4</v>
      </c>
      <c r="G80" s="9" t="n">
        <v/>
      </c>
      <c r="H80" s="9" t="n">
        <v>2017</v>
      </c>
      <c r="I80" s="9" t="inlineStr">
        <is>
          <t>Amsterdam, Netherlands</t>
        </is>
      </c>
      <c r="J80" s="9" t="b">
        <v>1</v>
      </c>
      <c r="K80" s="9" t="b">
        <v>0</v>
      </c>
      <c r="L80" s="9" t="b">
        <v>0</v>
      </c>
      <c r="M80" s="9" t="b">
        <v>1</v>
      </c>
      <c r="N80" s="9" t="n">
        <v>29</v>
      </c>
      <c r="O80" s="9" t="n">
        <v>129</v>
      </c>
      <c r="P80" s="9" t="n">
        <v>4</v>
      </c>
      <c r="Q80" s="9" t="n">
        <v>7</v>
      </c>
      <c r="R80" s="9" t="inlineStr">
        <is>
          <t>https://www.cryptohopper.com</t>
        </is>
      </c>
      <c r="S80">
        <f>IF(M80,N80,"")</f>
        <v/>
      </c>
    </row>
    <row r="81">
      <c r="A81" s="9" t="n">
        <v>177</v>
      </c>
      <c r="B81" s="9" t="inlineStr">
        <is>
          <t>Cursor</t>
        </is>
      </c>
      <c r="C81" s="9" t="inlineStr">
        <is>
          <t>ai-coding</t>
        </is>
      </c>
      <c r="D81" s="9" t="inlineStr">
        <is>
          <t>AI Coding</t>
        </is>
      </c>
      <c r="E81" s="9" t="n">
        <v>4.75</v>
      </c>
      <c r="F81" s="9" t="n">
        <v>4.7</v>
      </c>
      <c r="G81" s="9" t="n">
        <v>4.8</v>
      </c>
      <c r="H81" s="9" t="n">
        <v>2023</v>
      </c>
      <c r="I81" s="9" t="n">
        <v/>
      </c>
      <c r="J81" s="9" t="b">
        <v>1</v>
      </c>
      <c r="K81" s="9" t="b">
        <v>0</v>
      </c>
      <c r="L81" s="9" t="b">
        <v>0</v>
      </c>
      <c r="M81" s="9" t="b">
        <v>1</v>
      </c>
      <c r="N81" s="9" t="n">
        <v>20</v>
      </c>
      <c r="O81" s="9" t="n">
        <v>40</v>
      </c>
      <c r="P81" s="9" t="n">
        <v>3</v>
      </c>
      <c r="Q81" s="9" t="n">
        <v>12</v>
      </c>
      <c r="R81" s="9" t="inlineStr">
        <is>
          <t>https://cursor.com</t>
        </is>
      </c>
      <c r="S81">
        <f>IF(M81,N81,"")</f>
        <v/>
      </c>
    </row>
    <row r="82">
      <c r="A82" s="9" t="n">
        <v>325</v>
      </c>
      <c r="B82" s="9" t="inlineStr">
        <is>
          <t>Curve Finance</t>
        </is>
      </c>
      <c r="C82" s="9" t="inlineStr">
        <is>
          <t>dex</t>
        </is>
      </c>
      <c r="D82" s="9" t="inlineStr">
        <is>
          <t>DEX</t>
        </is>
      </c>
      <c r="E82" s="9" t="n">
        <v/>
      </c>
      <c r="F82" s="9" t="n">
        <v/>
      </c>
      <c r="G82" s="9" t="n">
        <v/>
      </c>
      <c r="H82" s="9" t="n">
        <v>2020</v>
      </c>
      <c r="I82" s="9" t="inlineStr">
        <is>
          <t>Decentralized</t>
        </is>
      </c>
      <c r="J82" s="9" t="b">
        <v>1</v>
      </c>
      <c r="K82" s="9" t="b">
        <v>0</v>
      </c>
      <c r="L82" s="9" t="b">
        <v>0</v>
      </c>
      <c r="M82" s="9" t="b">
        <v>0</v>
      </c>
      <c r="N82" s="9" t="n">
        <v>0.04</v>
      </c>
      <c r="O82" s="9" t="n">
        <v>0.04</v>
      </c>
      <c r="P82" s="9" t="n">
        <v>4</v>
      </c>
      <c r="Q82" s="9" t="n">
        <v>11</v>
      </c>
      <c r="R82" s="9" t="inlineStr">
        <is>
          <t>https://curve.fi</t>
        </is>
      </c>
      <c r="S82">
        <f>IF(M82,N82,"")</f>
        <v/>
      </c>
    </row>
    <row r="83">
      <c r="A83" s="9" t="n">
        <v>166</v>
      </c>
      <c r="B83" s="9" t="inlineStr">
        <is>
          <t>CyberGhost</t>
        </is>
      </c>
      <c r="C83" s="9" t="inlineStr">
        <is>
          <t>vpn</t>
        </is>
      </c>
      <c r="D83" s="9" t="inlineStr">
        <is>
          <t>VPN</t>
        </is>
      </c>
      <c r="E83" s="9" t="n">
        <v>4.4</v>
      </c>
      <c r="F83" s="9" t="n">
        <v>4.3</v>
      </c>
      <c r="G83" s="9" t="n">
        <v>4.5</v>
      </c>
      <c r="H83" s="9" t="n">
        <v>2011</v>
      </c>
      <c r="I83" s="9" t="n">
        <v/>
      </c>
      <c r="J83" s="9" t="b">
        <v>0</v>
      </c>
      <c r="K83" s="9" t="b">
        <v>0</v>
      </c>
      <c r="L83" s="9" t="b">
        <v>0</v>
      </c>
      <c r="M83" s="9" t="b">
        <v>1</v>
      </c>
      <c r="N83" s="9" t="n">
        <v>4.29</v>
      </c>
      <c r="O83" s="9" t="n">
        <v>12.99</v>
      </c>
      <c r="P83" s="9" t="n">
        <v>2</v>
      </c>
      <c r="Q83" s="9" t="n">
        <v>10</v>
      </c>
      <c r="R83" s="9" t="inlineStr">
        <is>
          <t>https://www.cyberghostvpn.com</t>
        </is>
      </c>
      <c r="S83">
        <f>IF(M83,N83,"")</f>
        <v/>
      </c>
    </row>
    <row r="84">
      <c r="A84" s="9" t="n">
        <v>168</v>
      </c>
      <c r="B84" s="9" t="inlineStr">
        <is>
          <t>DALL-E 3</t>
        </is>
      </c>
      <c r="C84" s="9" t="inlineStr">
        <is>
          <t>ai-image</t>
        </is>
      </c>
      <c r="D84" s="9" t="inlineStr">
        <is>
          <t>AI Image Generators</t>
        </is>
      </c>
      <c r="E84" s="9" t="n">
        <v>4.45</v>
      </c>
      <c r="F84" s="9" t="n">
        <v>4.5</v>
      </c>
      <c r="G84" s="9" t="n">
        <v>4.4</v>
      </c>
      <c r="H84" s="9" t="n">
        <v>2023</v>
      </c>
      <c r="I84" s="9" t="n">
        <v/>
      </c>
      <c r="J84" s="9" t="b">
        <v>0</v>
      </c>
      <c r="K84" s="9" t="b">
        <v>0</v>
      </c>
      <c r="L84" s="9" t="b">
        <v>0</v>
      </c>
      <c r="M84" s="9" t="b">
        <v>1</v>
      </c>
      <c r="N84" s="9" t="n">
        <v>20</v>
      </c>
      <c r="O84" s="9" t="n">
        <v>20</v>
      </c>
      <c r="P84" s="9" t="n">
        <v>1</v>
      </c>
      <c r="Q84" s="9" t="n">
        <v>4</v>
      </c>
      <c r="R84" s="9" t="inlineStr">
        <is>
          <t>https://openai.com/dall-e-3</t>
        </is>
      </c>
      <c r="S84">
        <f>IF(M84,N84,"")</f>
        <v/>
      </c>
    </row>
    <row r="85">
      <c r="A85" s="9" t="n">
        <v>133</v>
      </c>
      <c r="B85" s="9" t="inlineStr">
        <is>
          <t>Daily</t>
        </is>
      </c>
      <c r="C85" s="9" t="inlineStr">
        <is>
          <t>video-conferencing</t>
        </is>
      </c>
      <c r="D85" s="9" t="inlineStr">
        <is>
          <t>Video Conferencing</t>
        </is>
      </c>
      <c r="E85" s="9" t="n">
        <v>4.7</v>
      </c>
      <c r="F85" s="9" t="n">
        <v>4.7</v>
      </c>
      <c r="G85" s="9" t="n">
        <v>4.7</v>
      </c>
      <c r="H85" s="9" t="n">
        <v>2016</v>
      </c>
      <c r="I85" s="9" t="inlineStr">
        <is>
          <t>San Francisco, CA</t>
        </is>
      </c>
      <c r="J85" s="9" t="b">
        <v>1</v>
      </c>
      <c r="K85" s="9" t="b">
        <v>0</v>
      </c>
      <c r="L85" s="9" t="b">
        <v>1</v>
      </c>
      <c r="M85" s="9" t="b">
        <v>1</v>
      </c>
      <c r="N85" s="9" t="n">
        <v/>
      </c>
      <c r="O85" s="9" t="n">
        <v>0</v>
      </c>
      <c r="P85" s="9" t="n">
        <v>3</v>
      </c>
      <c r="Q85" s="9" t="n">
        <v>12</v>
      </c>
      <c r="R85" s="9" t="inlineStr">
        <is>
          <t>https://www.daily.co</t>
        </is>
      </c>
      <c r="S85">
        <f>IF(M85,N85,"")</f>
        <v/>
      </c>
    </row>
    <row r="86">
      <c r="A86" s="9" t="n">
        <v>160</v>
      </c>
      <c r="B86" s="9" t="inlineStr">
        <is>
          <t>Dashlane</t>
        </is>
      </c>
      <c r="C86" s="9" t="inlineStr">
        <is>
          <t>password-managers</t>
        </is>
      </c>
      <c r="D86" s="9" t="inlineStr">
        <is>
          <t>Password Managers</t>
        </is>
      </c>
      <c r="E86" s="9" t="n">
        <v>4.5</v>
      </c>
      <c r="F86" s="9" t="n">
        <v>4.5</v>
      </c>
      <c r="G86" s="9" t="n">
        <v>4.5</v>
      </c>
      <c r="H86" s="9" t="n">
        <v>2012</v>
      </c>
      <c r="I86" s="9" t="n">
        <v/>
      </c>
      <c r="J86" s="9" t="b">
        <v>1</v>
      </c>
      <c r="K86" s="9" t="b">
        <v>0</v>
      </c>
      <c r="L86" s="9" t="b">
        <v>0</v>
      </c>
      <c r="M86" s="9" t="b">
        <v>1</v>
      </c>
      <c r="N86" s="9" t="n">
        <v>4.99</v>
      </c>
      <c r="O86" s="9" t="n">
        <v>8</v>
      </c>
      <c r="P86" s="9" t="n">
        <v>3</v>
      </c>
      <c r="Q86" s="9" t="n">
        <v>10</v>
      </c>
      <c r="R86" s="9" t="inlineStr">
        <is>
          <t>https://www.dashlane.com</t>
        </is>
      </c>
      <c r="S86">
        <f>IF(M86,N86,"")</f>
        <v/>
      </c>
    </row>
    <row r="87">
      <c r="A87" s="9" t="n">
        <v>234</v>
      </c>
      <c r="B87" s="9" t="inlineStr">
        <is>
          <t>DataRobot</t>
        </is>
      </c>
      <c r="C87" s="9" t="inlineStr">
        <is>
          <t>ai-productivity</t>
        </is>
      </c>
      <c r="D87" s="9" t="inlineStr">
        <is>
          <t>AI Productivity</t>
        </is>
      </c>
      <c r="E87" s="9" t="n">
        <v>4.3</v>
      </c>
      <c r="F87" s="9" t="n">
        <v>4.3</v>
      </c>
      <c r="G87" s="9" t="n">
        <v>4.3</v>
      </c>
      <c r="H87" s="9" t="n">
        <v>2012</v>
      </c>
      <c r="I87" s="9" t="n">
        <v/>
      </c>
      <c r="J87" s="9" t="b">
        <v>1</v>
      </c>
      <c r="K87" s="9" t="b">
        <v>0</v>
      </c>
      <c r="L87" s="9" t="b">
        <v>1</v>
      </c>
      <c r="M87" s="9" t="b">
        <v>1</v>
      </c>
      <c r="N87" s="9" t="n">
        <v/>
      </c>
      <c r="O87" s="9" t="n">
        <v>0</v>
      </c>
      <c r="P87" s="9" t="n">
        <v>2</v>
      </c>
      <c r="Q87" s="9" t="n">
        <v>11</v>
      </c>
      <c r="R87" s="9" t="inlineStr">
        <is>
          <t>https://datarobot.com</t>
        </is>
      </c>
      <c r="S87">
        <f>IF(M87,N87,"")</f>
        <v/>
      </c>
    </row>
    <row r="88">
      <c r="A88" s="9" t="n">
        <v>290</v>
      </c>
      <c r="B88" s="9" t="inlineStr">
        <is>
          <t>DeBank</t>
        </is>
      </c>
      <c r="C88" s="9" t="inlineStr">
        <is>
          <t>crypto-portfolio-trackers</t>
        </is>
      </c>
      <c r="D88" s="9" t="inlineStr">
        <is>
          <t>Crypto Portfolio Trackers</t>
        </is>
      </c>
      <c r="E88" s="9" t="n">
        <v>4.6</v>
      </c>
      <c r="F88" s="9" t="n">
        <v>4.6</v>
      </c>
      <c r="G88" s="9" t="n">
        <v/>
      </c>
      <c r="H88" s="9" t="n">
        <v>2018</v>
      </c>
      <c r="I88" s="9" t="inlineStr">
        <is>
          <t>Unknown</t>
        </is>
      </c>
      <c r="J88" s="9" t="b">
        <v>1</v>
      </c>
      <c r="K88" s="9" t="b">
        <v>0</v>
      </c>
      <c r="L88" s="9" t="b">
        <v>0</v>
      </c>
      <c r="M88" s="9" t="b">
        <v>1</v>
      </c>
      <c r="N88" s="9" t="n">
        <v>96</v>
      </c>
      <c r="O88" s="9" t="n">
        <v>96</v>
      </c>
      <c r="P88" s="9" t="n">
        <v>2</v>
      </c>
      <c r="Q88" s="9" t="n">
        <v>8</v>
      </c>
      <c r="R88" s="9" t="inlineStr">
        <is>
          <t>https://debank.com</t>
        </is>
      </c>
      <c r="S88">
        <f>IF(M88,N88,"")</f>
        <v/>
      </c>
    </row>
    <row r="89">
      <c r="A89" s="9" t="n">
        <v>236</v>
      </c>
      <c r="B89" s="9" t="inlineStr">
        <is>
          <t>DeepSeek</t>
        </is>
      </c>
      <c r="C89" s="9" t="inlineStr">
        <is>
          <t>llm</t>
        </is>
      </c>
      <c r="D89" s="9" t="inlineStr">
        <is>
          <t>Large Language Models</t>
        </is>
      </c>
      <c r="E89" s="9" t="n">
        <v>4.55</v>
      </c>
      <c r="F89" s="9" t="n">
        <v>4.5</v>
      </c>
      <c r="G89" s="9" t="n">
        <v>4.6</v>
      </c>
      <c r="H89" s="9" t="n">
        <v>2023</v>
      </c>
      <c r="I89" s="9" t="n">
        <v/>
      </c>
      <c r="J89" s="9" t="b">
        <v>1</v>
      </c>
      <c r="K89" s="9" t="b">
        <v>0</v>
      </c>
      <c r="L89" s="9" t="b">
        <v>1</v>
      </c>
      <c r="M89" s="9" t="b">
        <v>1</v>
      </c>
      <c r="N89" s="9" t="n">
        <v/>
      </c>
      <c r="O89" s="9" t="n">
        <v>0</v>
      </c>
      <c r="P89" s="9" t="n">
        <v>2</v>
      </c>
      <c r="Q89" s="9" t="n">
        <v>6</v>
      </c>
      <c r="R89" s="9" t="inlineStr">
        <is>
          <t>https://www.deepseek.com</t>
        </is>
      </c>
      <c r="S89">
        <f>IF(M89,N89,"")</f>
        <v/>
      </c>
    </row>
    <row r="90">
      <c r="A90" s="9" t="n">
        <v>243</v>
      </c>
      <c r="B90" s="9" t="inlineStr">
        <is>
          <t>DeepSeek V3</t>
        </is>
      </c>
      <c r="C90" s="9" t="inlineStr">
        <is>
          <t>llm</t>
        </is>
      </c>
      <c r="D90" s="9" t="inlineStr">
        <is>
          <t>Large Language Models</t>
        </is>
      </c>
      <c r="E90" s="9" t="n">
        <v>4.35</v>
      </c>
      <c r="F90" s="9" t="n">
        <v>4.4</v>
      </c>
      <c r="G90" s="9" t="n">
        <v>4.3</v>
      </c>
      <c r="H90" s="9" t="n">
        <v>2024</v>
      </c>
      <c r="I90" s="9" t="n">
        <v/>
      </c>
      <c r="J90" s="9" t="b">
        <v>1</v>
      </c>
      <c r="K90" s="9" t="b">
        <v>0</v>
      </c>
      <c r="L90" s="9" t="b">
        <v>0</v>
      </c>
      <c r="M90" s="9" t="b">
        <v>1</v>
      </c>
      <c r="N90" s="9" t="n">
        <v/>
      </c>
      <c r="O90" s="9" t="n">
        <v>0</v>
      </c>
      <c r="P90" s="9" t="n">
        <v>2</v>
      </c>
      <c r="Q90" s="9" t="n">
        <v>18</v>
      </c>
      <c r="R90" s="9" t="inlineStr">
        <is>
          <t>https://deepseek.com</t>
        </is>
      </c>
      <c r="S90">
        <f>IF(M90,N90,"")</f>
        <v/>
      </c>
    </row>
    <row r="91">
      <c r="A91" s="9" t="n">
        <v>296</v>
      </c>
      <c r="B91" s="9" t="inlineStr">
        <is>
          <t>DefiLlama</t>
        </is>
      </c>
      <c r="C91" s="9" t="inlineStr">
        <is>
          <t>defi-tools</t>
        </is>
      </c>
      <c r="D91" s="9" t="inlineStr">
        <is>
          <t>DeFi Tools</t>
        </is>
      </c>
      <c r="E91" s="9" t="n">
        <v>4.7</v>
      </c>
      <c r="F91" s="9" t="n">
        <v>4.7</v>
      </c>
      <c r="G91" s="9" t="n">
        <v/>
      </c>
      <c r="H91" s="9" t="n">
        <v>2020</v>
      </c>
      <c r="I91" s="9" t="inlineStr">
        <is>
          <t>Decentralized</t>
        </is>
      </c>
      <c r="J91" s="9" t="b">
        <v>1</v>
      </c>
      <c r="K91" s="9" t="b">
        <v>0</v>
      </c>
      <c r="L91" s="9" t="b">
        <v>0</v>
      </c>
      <c r="M91" s="9" t="b">
        <v>1</v>
      </c>
      <c r="N91" s="9" t="n">
        <v/>
      </c>
      <c r="O91" s="9" t="n">
        <v>0</v>
      </c>
      <c r="P91" s="9" t="n">
        <v>1</v>
      </c>
      <c r="Q91" s="9" t="n">
        <v>5</v>
      </c>
      <c r="R91" s="9" t="inlineStr">
        <is>
          <t>https://defillama.com</t>
        </is>
      </c>
      <c r="S91">
        <f>IF(M91,N91,"")</f>
        <v/>
      </c>
    </row>
    <row r="92">
      <c r="A92" s="9" t="n">
        <v>288</v>
      </c>
      <c r="B92" s="9" t="inlineStr">
        <is>
          <t>Delta</t>
        </is>
      </c>
      <c r="C92" s="9" t="inlineStr">
        <is>
          <t>crypto-portfolio-trackers</t>
        </is>
      </c>
      <c r="D92" s="9" t="inlineStr">
        <is>
          <t>Crypto Portfolio Trackers</t>
        </is>
      </c>
      <c r="E92" s="9" t="n">
        <v>4.2</v>
      </c>
      <c r="F92" s="9" t="n">
        <v>4.2</v>
      </c>
      <c r="G92" s="9" t="n">
        <v/>
      </c>
      <c r="H92" s="9" t="n">
        <v>2017</v>
      </c>
      <c r="I92" s="9" t="inlineStr">
        <is>
          <t>Belgium</t>
        </is>
      </c>
      <c r="J92" s="9" t="b">
        <v>1</v>
      </c>
      <c r="K92" s="9" t="b">
        <v>0</v>
      </c>
      <c r="L92" s="9" t="b">
        <v>0</v>
      </c>
      <c r="M92" s="9" t="b">
        <v>1</v>
      </c>
      <c r="N92" s="9" t="n">
        <v>8.99</v>
      </c>
      <c r="O92" s="9" t="n">
        <v>8.99</v>
      </c>
      <c r="P92" s="9" t="n">
        <v>2</v>
      </c>
      <c r="Q92" s="9" t="n">
        <v>8</v>
      </c>
      <c r="R92" s="9" t="inlineStr">
        <is>
          <t>https://delta.app</t>
        </is>
      </c>
      <c r="S92">
        <f>IF(M92,N92,"")</f>
        <v/>
      </c>
    </row>
    <row r="93">
      <c r="A93" s="9" t="n">
        <v>148</v>
      </c>
      <c r="B93" s="9" t="inlineStr">
        <is>
          <t>Demio</t>
        </is>
      </c>
      <c r="C93" s="9" t="inlineStr">
        <is>
          <t>video-conferencing</t>
        </is>
      </c>
      <c r="D93" s="9" t="inlineStr">
        <is>
          <t>Video Conferencing</t>
        </is>
      </c>
      <c r="E93" s="9" t="n">
        <v>4.55</v>
      </c>
      <c r="F93" s="9" t="n">
        <v>4.4</v>
      </c>
      <c r="G93" s="9" t="n">
        <v>4.7</v>
      </c>
      <c r="H93" s="9" t="n">
        <v>2016</v>
      </c>
      <c r="I93" s="9" t="inlineStr">
        <is>
          <t>Scottsdale, AZ</t>
        </is>
      </c>
      <c r="J93" s="9" t="b">
        <v>0</v>
      </c>
      <c r="K93" s="9" t="b">
        <v>0</v>
      </c>
      <c r="L93" s="9" t="b">
        <v>0</v>
      </c>
      <c r="M93" s="9" t="b">
        <v>1</v>
      </c>
      <c r="N93" s="9" t="n">
        <v>45</v>
      </c>
      <c r="O93" s="9" t="n">
        <v>196</v>
      </c>
      <c r="P93" s="9" t="n">
        <v>3</v>
      </c>
      <c r="Q93" s="9" t="n">
        <v>8</v>
      </c>
      <c r="R93" s="9" t="inlineStr">
        <is>
          <t>https://demio.com</t>
        </is>
      </c>
      <c r="S93">
        <f>IF(M93,N93,"")</f>
        <v/>
      </c>
    </row>
    <row r="94">
      <c r="A94" s="9" t="n">
        <v>229</v>
      </c>
      <c r="B94" s="9" t="inlineStr">
        <is>
          <t>Descript</t>
        </is>
      </c>
      <c r="C94" s="9" t="inlineStr">
        <is>
          <t>ai-video</t>
        </is>
      </c>
      <c r="D94" s="9" t="inlineStr">
        <is>
          <t>AI Video</t>
        </is>
      </c>
      <c r="E94" s="9" t="n">
        <v>4.65</v>
      </c>
      <c r="F94" s="9" t="n">
        <v>4.6</v>
      </c>
      <c r="G94" s="9" t="n">
        <v>4.7</v>
      </c>
      <c r="H94" s="9" t="n">
        <v>2017</v>
      </c>
      <c r="I94" s="9" t="n">
        <v/>
      </c>
      <c r="J94" s="9" t="b">
        <v>1</v>
      </c>
      <c r="K94" s="9" t="b">
        <v>0</v>
      </c>
      <c r="L94" s="9" t="b">
        <v>0</v>
      </c>
      <c r="M94" s="9" t="b">
        <v>1</v>
      </c>
      <c r="N94" s="9" t="n">
        <v>19</v>
      </c>
      <c r="O94" s="9" t="n">
        <v>35</v>
      </c>
      <c r="P94" s="9" t="n">
        <v>3</v>
      </c>
      <c r="Q94" s="9" t="n">
        <v>9</v>
      </c>
      <c r="R94" s="9" t="inlineStr">
        <is>
          <t>https://descript.com</t>
        </is>
      </c>
      <c r="S94">
        <f>IF(M94,N94,"")</f>
        <v/>
      </c>
    </row>
    <row r="95">
      <c r="A95" s="9" t="n">
        <v>252</v>
      </c>
      <c r="B95" s="9" t="inlineStr">
        <is>
          <t>Devin</t>
        </is>
      </c>
      <c r="C95" s="9" t="inlineStr">
        <is>
          <t>ai-agents</t>
        </is>
      </c>
      <c r="D95" s="9" t="inlineStr">
        <is>
          <t>AI Agents</t>
        </is>
      </c>
      <c r="E95" s="9" t="n">
        <v>3.95</v>
      </c>
      <c r="F95" s="9" t="n">
        <v>4</v>
      </c>
      <c r="G95" s="9" t="n">
        <v>3.9</v>
      </c>
      <c r="H95" s="9" t="n">
        <v>2024</v>
      </c>
      <c r="I95" s="9" t="n">
        <v/>
      </c>
      <c r="J95" s="9" t="b">
        <v>0</v>
      </c>
      <c r="K95" s="9" t="b">
        <v>0</v>
      </c>
      <c r="L95" s="9" t="b">
        <v>1</v>
      </c>
      <c r="M95" s="9" t="b">
        <v>1</v>
      </c>
      <c r="N95" s="9" t="n">
        <v>20</v>
      </c>
      <c r="O95" s="9" t="n">
        <v>80</v>
      </c>
      <c r="P95" s="9" t="n">
        <v>3</v>
      </c>
      <c r="Q95" s="9" t="n">
        <v>13</v>
      </c>
      <c r="R95" s="9" t="inlineStr">
        <is>
          <t>https://devin.ai</t>
        </is>
      </c>
      <c r="S95">
        <f>IF(M95,N95,"")</f>
        <v/>
      </c>
    </row>
    <row r="96">
      <c r="A96" s="9" t="n">
        <v>137</v>
      </c>
      <c r="B96" s="9" t="inlineStr">
        <is>
          <t>Dialpad</t>
        </is>
      </c>
      <c r="C96" s="9" t="inlineStr">
        <is>
          <t>video-conferencing</t>
        </is>
      </c>
      <c r="D96" s="9" t="inlineStr">
        <is>
          <t>Video Conferencing</t>
        </is>
      </c>
      <c r="E96" s="9" t="n">
        <v>4.35</v>
      </c>
      <c r="F96" s="9" t="n">
        <v>4.4</v>
      </c>
      <c r="G96" s="9" t="n">
        <v>4.3</v>
      </c>
      <c r="H96" s="9" t="n">
        <v>2012</v>
      </c>
      <c r="I96" s="9" t="inlineStr">
        <is>
          <t>San Francisco, CA</t>
        </is>
      </c>
      <c r="J96" s="9" t="b">
        <v>0</v>
      </c>
      <c r="K96" s="9" t="b">
        <v>0</v>
      </c>
      <c r="L96" s="9" t="b">
        <v>1</v>
      </c>
      <c r="M96" s="9" t="b">
        <v>1</v>
      </c>
      <c r="N96" s="9" t="n">
        <v>27</v>
      </c>
      <c r="O96" s="9" t="n">
        <v>35</v>
      </c>
      <c r="P96" s="9" t="n">
        <v>3</v>
      </c>
      <c r="Q96" s="9" t="n">
        <v>9</v>
      </c>
      <c r="R96" s="9" t="inlineStr">
        <is>
          <t>https://www.dialpad.com</t>
        </is>
      </c>
      <c r="S96">
        <f>IF(M96,N96,"")</f>
        <v/>
      </c>
    </row>
    <row r="97">
      <c r="A97" s="9" t="n">
        <v>73</v>
      </c>
      <c r="B97" s="9" t="inlineStr">
        <is>
          <t>DigitalOcean</t>
        </is>
      </c>
      <c r="C97" s="9" t="inlineStr">
        <is>
          <t>cloud-hosting</t>
        </is>
      </c>
      <c r="D97" s="9" t="inlineStr">
        <is>
          <t>Cloud Hosting</t>
        </is>
      </c>
      <c r="E97" s="9" t="n">
        <v>4.6</v>
      </c>
      <c r="F97" s="9" t="n">
        <v>4.5</v>
      </c>
      <c r="G97" s="9" t="n">
        <v>4.7</v>
      </c>
      <c r="H97" s="9" t="n">
        <v>2011</v>
      </c>
      <c r="I97" s="9" t="inlineStr">
        <is>
          <t>New York, NY</t>
        </is>
      </c>
      <c r="J97" s="9" t="b">
        <v>1</v>
      </c>
      <c r="K97" s="9" t="b">
        <v>0</v>
      </c>
      <c r="L97" s="9" t="b">
        <v>0</v>
      </c>
      <c r="M97" s="9" t="b">
        <v>1</v>
      </c>
      <c r="N97" s="9" t="n">
        <v>4</v>
      </c>
      <c r="O97" s="9" t="n">
        <v>8</v>
      </c>
      <c r="P97" s="9" t="n">
        <v>4</v>
      </c>
      <c r="Q97" s="9" t="n">
        <v>18</v>
      </c>
      <c r="R97" s="9" t="inlineStr">
        <is>
          <t>https://www.digitalocean.com</t>
        </is>
      </c>
      <c r="S97">
        <f>IF(M97,N97,"")</f>
        <v/>
      </c>
    </row>
    <row r="98">
      <c r="A98" s="9" t="n">
        <v>42</v>
      </c>
      <c r="B98" s="9" t="inlineStr">
        <is>
          <t>Drip</t>
        </is>
      </c>
      <c r="C98" s="9" t="inlineStr">
        <is>
          <t>email-marketing</t>
        </is>
      </c>
      <c r="D98" s="9" t="inlineStr">
        <is>
          <t>Email Marketing</t>
        </is>
      </c>
      <c r="E98" s="9" t="n">
        <v>4.4</v>
      </c>
      <c r="F98" s="9" t="n">
        <v>4.4</v>
      </c>
      <c r="G98" s="9" t="n">
        <v>4.4</v>
      </c>
      <c r="H98" s="9" t="n">
        <v>2013</v>
      </c>
      <c r="I98" s="9" t="inlineStr">
        <is>
          <t>Minneapolis, MN</t>
        </is>
      </c>
      <c r="J98" s="9" t="b">
        <v>0</v>
      </c>
      <c r="K98" s="9" t="b">
        <v>0</v>
      </c>
      <c r="L98" s="9" t="b">
        <v>0</v>
      </c>
      <c r="M98" s="9" t="b">
        <v>1</v>
      </c>
      <c r="N98" s="9" t="n">
        <v>39</v>
      </c>
      <c r="O98" s="9" t="n">
        <v>39</v>
      </c>
      <c r="P98" s="9" t="n">
        <v>1</v>
      </c>
      <c r="Q98" s="9" t="n">
        <v>12</v>
      </c>
      <c r="R98" s="9" t="inlineStr">
        <is>
          <t>https://www.drip.com</t>
        </is>
      </c>
      <c r="S98">
        <f>IF(M98,N98,"")</f>
        <v/>
      </c>
    </row>
    <row r="99">
      <c r="A99" s="9" t="n">
        <v>64</v>
      </c>
      <c r="B99" s="9" t="inlineStr">
        <is>
          <t>Duda</t>
        </is>
      </c>
      <c r="C99" s="9" t="inlineStr">
        <is>
          <t>website-builders</t>
        </is>
      </c>
      <c r="D99" s="9" t="inlineStr">
        <is>
          <t>Website Builders</t>
        </is>
      </c>
      <c r="E99" s="9" t="n">
        <v>4.6</v>
      </c>
      <c r="F99" s="9" t="n">
        <v>4.6</v>
      </c>
      <c r="G99" s="9" t="n">
        <v>4.6</v>
      </c>
      <c r="H99" s="9" t="n">
        <v>2010</v>
      </c>
      <c r="I99" s="9" t="inlineStr">
        <is>
          <t>Palo Alto, CA</t>
        </is>
      </c>
      <c r="J99" s="9" t="b">
        <v>0</v>
      </c>
      <c r="K99" s="9" t="b">
        <v>0</v>
      </c>
      <c r="L99" s="9" t="b">
        <v>0</v>
      </c>
      <c r="M99" s="9" t="b">
        <v>1</v>
      </c>
      <c r="N99" s="9" t="n">
        <v>25</v>
      </c>
      <c r="O99" s="9" t="n">
        <v>199</v>
      </c>
      <c r="P99" s="9" t="n">
        <v>4</v>
      </c>
      <c r="Q99" s="9" t="n">
        <v>15</v>
      </c>
      <c r="R99" s="9" t="inlineStr">
        <is>
          <t>https://www.duda.co</t>
        </is>
      </c>
      <c r="S99">
        <f>IF(M99,N99,"")</f>
        <v/>
      </c>
    </row>
    <row r="100">
      <c r="A100" s="9" t="n">
        <v>278</v>
      </c>
      <c r="B100" s="9" t="inlineStr">
        <is>
          <t>Dune Analytics</t>
        </is>
      </c>
      <c r="C100" s="9" t="inlineStr">
        <is>
          <t>crypto-analytics</t>
        </is>
      </c>
      <c r="D100" s="9" t="inlineStr">
        <is>
          <t>Crypto Analytics</t>
        </is>
      </c>
      <c r="E100" s="9" t="n">
        <v>4.6</v>
      </c>
      <c r="F100" s="9" t="n">
        <v>4.6</v>
      </c>
      <c r="G100" s="9" t="n">
        <v/>
      </c>
      <c r="H100" s="9" t="n">
        <v>2018</v>
      </c>
      <c r="I100" s="9" t="inlineStr">
        <is>
          <t>Oslo, Norway</t>
        </is>
      </c>
      <c r="J100" s="9" t="b">
        <v>1</v>
      </c>
      <c r="K100" s="9" t="b">
        <v>0</v>
      </c>
      <c r="L100" s="9" t="b">
        <v>1</v>
      </c>
      <c r="M100" s="9" t="b">
        <v>1</v>
      </c>
      <c r="N100" s="9" t="n">
        <v>349</v>
      </c>
      <c r="O100" s="9" t="n">
        <v>399</v>
      </c>
      <c r="P100" s="9" t="n">
        <v>4</v>
      </c>
      <c r="Q100" s="9" t="n">
        <v>8</v>
      </c>
      <c r="R100" s="9" t="inlineStr">
        <is>
          <t>https://dune.com</t>
        </is>
      </c>
      <c r="S100">
        <f>IF(M100,N100,"")</f>
        <v/>
      </c>
    </row>
    <row r="101">
      <c r="A101" s="9" t="n">
        <v>179</v>
      </c>
      <c r="B101" s="9" t="inlineStr">
        <is>
          <t>ElevenLabs</t>
        </is>
      </c>
      <c r="C101" s="9" t="inlineStr">
        <is>
          <t>ai-voice</t>
        </is>
      </c>
      <c r="D101" s="9" t="inlineStr">
        <is>
          <t>AI Voice &amp; Audio</t>
        </is>
      </c>
      <c r="E101" s="9" t="n">
        <v>4.75</v>
      </c>
      <c r="F101" s="9" t="n">
        <v>4.7</v>
      </c>
      <c r="G101" s="9" t="n">
        <v>4.8</v>
      </c>
      <c r="H101" s="9" t="n">
        <v>2022</v>
      </c>
      <c r="I101" s="9" t="n">
        <v/>
      </c>
      <c r="J101" s="9" t="b">
        <v>1</v>
      </c>
      <c r="K101" s="9" t="b">
        <v>0</v>
      </c>
      <c r="L101" s="9" t="b">
        <v>0</v>
      </c>
      <c r="M101" s="9" t="b">
        <v>1</v>
      </c>
      <c r="N101" s="9" t="n">
        <v>6</v>
      </c>
      <c r="O101" s="9" t="n">
        <v>99</v>
      </c>
      <c r="P101" s="9" t="n">
        <v>4</v>
      </c>
      <c r="Q101" s="9" t="n">
        <v>9</v>
      </c>
      <c r="R101" s="9" t="inlineStr">
        <is>
          <t>https://elevenlabs.io</t>
        </is>
      </c>
      <c r="S101">
        <f>IF(M101,N101,"")</f>
        <v/>
      </c>
    </row>
    <row r="102">
      <c r="A102" s="9" t="n">
        <v>219</v>
      </c>
      <c r="B102" s="9" t="inlineStr">
        <is>
          <t>Elicit</t>
        </is>
      </c>
      <c r="C102" s="9" t="inlineStr">
        <is>
          <t>ai-productivity</t>
        </is>
      </c>
      <c r="D102" s="9" t="inlineStr">
        <is>
          <t>AI Productivity</t>
        </is>
      </c>
      <c r="E102" s="9" t="n">
        <v>4.5</v>
      </c>
      <c r="F102" s="9" t="n">
        <v>4.5</v>
      </c>
      <c r="G102" s="9" t="n">
        <v>4.5</v>
      </c>
      <c r="H102" s="9" t="n">
        <v>2021</v>
      </c>
      <c r="I102" s="9" t="n">
        <v/>
      </c>
      <c r="J102" s="9" t="b">
        <v>1</v>
      </c>
      <c r="K102" s="9" t="b">
        <v>0</v>
      </c>
      <c r="L102" s="9" t="b">
        <v>1</v>
      </c>
      <c r="M102" s="9" t="b">
        <v>1</v>
      </c>
      <c r="N102" s="9" t="n">
        <v>49</v>
      </c>
      <c r="O102" s="9" t="n">
        <v>49</v>
      </c>
      <c r="P102" s="9" t="n">
        <v>3</v>
      </c>
      <c r="Q102" s="9" t="n">
        <v>9</v>
      </c>
      <c r="R102" s="9" t="inlineStr">
        <is>
          <t>https://elicit.com</t>
        </is>
      </c>
      <c r="S102">
        <f>IF(M102,N102,"")</f>
        <v/>
      </c>
    </row>
    <row r="103">
      <c r="A103" s="9" t="n">
        <v>318</v>
      </c>
      <c r="B103" s="9" t="inlineStr">
        <is>
          <t>Exodus</t>
        </is>
      </c>
      <c r="C103" s="9" t="inlineStr">
        <is>
          <t>crypto-wallets</t>
        </is>
      </c>
      <c r="D103" s="9" t="inlineStr">
        <is>
          <t>Crypto Wallets</t>
        </is>
      </c>
      <c r="E103" s="9" t="n">
        <v>4.3</v>
      </c>
      <c r="F103" s="9" t="n">
        <v>4.3</v>
      </c>
      <c r="G103" s="9" t="n">
        <v/>
      </c>
      <c r="H103" s="9" t="n">
        <v>2015</v>
      </c>
      <c r="I103" s="9" t="inlineStr">
        <is>
          <t>Omaha, USA</t>
        </is>
      </c>
      <c r="J103" s="9" t="b">
        <v>1</v>
      </c>
      <c r="K103" s="9" t="b">
        <v>0</v>
      </c>
      <c r="L103" s="9" t="b">
        <v>0</v>
      </c>
      <c r="M103" s="9" t="b">
        <v>1</v>
      </c>
      <c r="N103" s="9" t="n">
        <v/>
      </c>
      <c r="O103" s="9" t="n">
        <v>0</v>
      </c>
      <c r="P103" s="9" t="n">
        <v>1</v>
      </c>
      <c r="Q103" s="9" t="n">
        <v>11</v>
      </c>
      <c r="R103" s="9" t="inlineStr">
        <is>
          <t>https://www.exodus.com</t>
        </is>
      </c>
      <c r="S103">
        <f>IF(M103,N103,"")</f>
        <v/>
      </c>
    </row>
    <row r="104">
      <c r="A104" s="9" t="n">
        <v>163</v>
      </c>
      <c r="B104" s="9" t="inlineStr">
        <is>
          <t>ExpressVPN</t>
        </is>
      </c>
      <c r="C104" s="9" t="inlineStr">
        <is>
          <t>vpn</t>
        </is>
      </c>
      <c r="D104" s="9" t="inlineStr">
        <is>
          <t>VPN</t>
        </is>
      </c>
      <c r="E104" s="9" t="n">
        <v>4.65</v>
      </c>
      <c r="F104" s="9" t="n">
        <v>4.7</v>
      </c>
      <c r="G104" s="9" t="n">
        <v>4.6</v>
      </c>
      <c r="H104" s="9" t="n">
        <v>2009</v>
      </c>
      <c r="I104" s="9" t="n">
        <v/>
      </c>
      <c r="J104" s="9" t="b">
        <v>0</v>
      </c>
      <c r="K104" s="9" t="b">
        <v>0</v>
      </c>
      <c r="L104" s="9" t="b">
        <v>0</v>
      </c>
      <c r="M104" s="9" t="b">
        <v>1</v>
      </c>
      <c r="N104" s="9" t="n">
        <v>6.67</v>
      </c>
      <c r="O104" s="9" t="n">
        <v>12.95</v>
      </c>
      <c r="P104" s="9" t="n">
        <v>3</v>
      </c>
      <c r="Q104" s="9" t="n">
        <v>13</v>
      </c>
      <c r="R104" s="9" t="inlineStr">
        <is>
          <t>https://www.expressvpn.com</t>
        </is>
      </c>
      <c r="S104">
        <f>IF(M104,N104,"")</f>
        <v/>
      </c>
    </row>
    <row r="105">
      <c r="A105" s="9" t="n">
        <v>91</v>
      </c>
      <c r="B105" s="9" t="inlineStr">
        <is>
          <t>Figma</t>
        </is>
      </c>
      <c r="C105" s="9" t="inlineStr">
        <is>
          <t>design-tools</t>
        </is>
      </c>
      <c r="D105" s="9" t="inlineStr">
        <is>
          <t>Design Tools</t>
        </is>
      </c>
      <c r="E105" s="9" t="n">
        <v>4.7</v>
      </c>
      <c r="F105" s="9" t="n">
        <v>4.7</v>
      </c>
      <c r="G105" s="9" t="n">
        <v>4.7</v>
      </c>
      <c r="H105" s="9" t="n">
        <v>2012</v>
      </c>
      <c r="I105" s="9" t="inlineStr">
        <is>
          <t>San Francisco, CA</t>
        </is>
      </c>
      <c r="J105" s="9" t="b">
        <v>1</v>
      </c>
      <c r="K105" s="9" t="b">
        <v>0</v>
      </c>
      <c r="L105" s="9" t="b">
        <v>0</v>
      </c>
      <c r="M105" s="9" t="b">
        <v>1</v>
      </c>
      <c r="N105" s="9" t="n">
        <v>16</v>
      </c>
      <c r="O105" s="9" t="n">
        <v>90</v>
      </c>
      <c r="P105" s="9" t="n">
        <v>4</v>
      </c>
      <c r="Q105" s="9" t="n">
        <v>15</v>
      </c>
      <c r="R105" s="9" t="inlineStr">
        <is>
          <t>https://www.figma.com</t>
        </is>
      </c>
      <c r="S105">
        <f>IF(M105,N105,"")</f>
        <v/>
      </c>
    </row>
    <row r="106">
      <c r="A106" s="9" t="n">
        <v>224</v>
      </c>
      <c r="B106" s="9" t="inlineStr">
        <is>
          <t>Fireflies.ai</t>
        </is>
      </c>
      <c r="C106" s="9" t="inlineStr">
        <is>
          <t>ai-productivity</t>
        </is>
      </c>
      <c r="D106" s="9" t="inlineStr">
        <is>
          <t>AI Productivity</t>
        </is>
      </c>
      <c r="E106" s="9" t="n">
        <v>4.7</v>
      </c>
      <c r="F106" s="9" t="n">
        <v>4.7</v>
      </c>
      <c r="G106" s="9" t="n">
        <v>4.7</v>
      </c>
      <c r="H106" s="9" t="n">
        <v>2019</v>
      </c>
      <c r="I106" s="9" t="n">
        <v/>
      </c>
      <c r="J106" s="9" t="b">
        <v>1</v>
      </c>
      <c r="K106" s="9" t="b">
        <v>0</v>
      </c>
      <c r="L106" s="9" t="b">
        <v>0</v>
      </c>
      <c r="M106" s="9" t="b">
        <v>1</v>
      </c>
      <c r="N106" s="9" t="n">
        <v>18</v>
      </c>
      <c r="O106" s="9" t="n">
        <v>29</v>
      </c>
      <c r="P106" s="9" t="n">
        <v>3</v>
      </c>
      <c r="Q106" s="9" t="n">
        <v>11</v>
      </c>
      <c r="R106" s="9" t="inlineStr">
        <is>
          <t>https://fireflies.ai</t>
        </is>
      </c>
      <c r="S106">
        <f>IF(M106,N106,"")</f>
        <v/>
      </c>
    </row>
    <row r="107">
      <c r="A107" s="9" t="n">
        <v>52</v>
      </c>
      <c r="B107" s="9" t="inlineStr">
        <is>
          <t>Flodesk</t>
        </is>
      </c>
      <c r="C107" s="9" t="inlineStr">
        <is>
          <t>email-marketing</t>
        </is>
      </c>
      <c r="D107" s="9" t="inlineStr">
        <is>
          <t>Email Marketing</t>
        </is>
      </c>
      <c r="E107" s="9" t="n">
        <v>4.1</v>
      </c>
      <c r="F107" s="9" t="n">
        <v>4</v>
      </c>
      <c r="G107" s="9" t="n">
        <v>4.2</v>
      </c>
      <c r="H107" s="9" t="n">
        <v>2019</v>
      </c>
      <c r="I107" s="9" t="inlineStr">
        <is>
          <t>Los Angeles, CA</t>
        </is>
      </c>
      <c r="J107" s="9" t="b">
        <v>1</v>
      </c>
      <c r="K107" s="9" t="b">
        <v>0</v>
      </c>
      <c r="L107" s="9" t="b">
        <v>0</v>
      </c>
      <c r="M107" s="9" t="b">
        <v>1</v>
      </c>
      <c r="N107" s="9" t="n">
        <v>25</v>
      </c>
      <c r="O107" s="9" t="n">
        <v>64</v>
      </c>
      <c r="P107" s="9" t="n">
        <v>4</v>
      </c>
      <c r="Q107" s="9" t="n">
        <v>10</v>
      </c>
      <c r="R107" s="9" t="inlineStr">
        <is>
          <t>https://flodesk.com</t>
        </is>
      </c>
      <c r="S107">
        <f>IF(M107,N107,"")</f>
        <v/>
      </c>
    </row>
    <row r="108">
      <c r="A108" s="9" t="n">
        <v>262</v>
      </c>
      <c r="B108" s="9" t="inlineStr">
        <is>
          <t>Flux</t>
        </is>
      </c>
      <c r="C108" s="9" t="inlineStr">
        <is>
          <t>ai-image</t>
        </is>
      </c>
      <c r="D108" s="9" t="inlineStr">
        <is>
          <t>AI Image Generators</t>
        </is>
      </c>
      <c r="E108" s="9" t="n">
        <v>4.45</v>
      </c>
      <c r="F108" s="9" t="n">
        <v>4.5</v>
      </c>
      <c r="G108" s="9" t="n">
        <v>4.4</v>
      </c>
      <c r="H108" s="9" t="n">
        <v>2024</v>
      </c>
      <c r="I108" s="9" t="n">
        <v/>
      </c>
      <c r="J108" s="9" t="b">
        <v>1</v>
      </c>
      <c r="K108" s="9" t="b">
        <v>0</v>
      </c>
      <c r="L108" s="9" t="b">
        <v>0</v>
      </c>
      <c r="M108" s="9" t="b">
        <v>1</v>
      </c>
      <c r="N108" s="9" t="n">
        <v/>
      </c>
      <c r="O108" s="9" t="n">
        <v>0</v>
      </c>
      <c r="P108" s="9" t="n">
        <v>2</v>
      </c>
      <c r="Q108" s="9" t="n">
        <v>14</v>
      </c>
      <c r="R108" s="9" t="inlineStr">
        <is>
          <t>https://blackforestlabs.ai</t>
        </is>
      </c>
      <c r="S108">
        <f>IF(M108,N108,"")</f>
        <v/>
      </c>
    </row>
    <row r="109">
      <c r="A109" s="9" t="n">
        <v>79</v>
      </c>
      <c r="B109" s="9" t="inlineStr">
        <is>
          <t>Fly.io</t>
        </is>
      </c>
      <c r="C109" s="9" t="inlineStr">
        <is>
          <t>cloud-hosting</t>
        </is>
      </c>
      <c r="D109" s="9" t="inlineStr">
        <is>
          <t>Cloud Hosting</t>
        </is>
      </c>
      <c r="E109" s="9" t="n">
        <v>4.4</v>
      </c>
      <c r="F109" s="9" t="n">
        <v>4.3</v>
      </c>
      <c r="G109" s="9" t="n">
        <v>4.5</v>
      </c>
      <c r="H109" s="9" t="n">
        <v>2017</v>
      </c>
      <c r="I109" s="9" t="inlineStr">
        <is>
          <t>Chicago, IL</t>
        </is>
      </c>
      <c r="J109" s="9" t="b">
        <v>1</v>
      </c>
      <c r="K109" s="9" t="b">
        <v>0</v>
      </c>
      <c r="L109" s="9" t="b">
        <v>1</v>
      </c>
      <c r="M109" s="9" t="b">
        <v>1</v>
      </c>
      <c r="N109" s="9" t="n">
        <v>29</v>
      </c>
      <c r="O109" s="9" t="n">
        <v>29</v>
      </c>
      <c r="P109" s="9" t="n">
        <v>3</v>
      </c>
      <c r="Q109" s="9" t="n">
        <v>15</v>
      </c>
      <c r="R109" s="9" t="inlineStr">
        <is>
          <t>https://fly.io</t>
        </is>
      </c>
      <c r="S109">
        <f>IF(M109,N109,"")</f>
        <v/>
      </c>
    </row>
    <row r="110">
      <c r="A110" s="9" t="n">
        <v>34</v>
      </c>
      <c r="B110" s="9" t="inlineStr">
        <is>
          <t>Folk</t>
        </is>
      </c>
      <c r="C110" s="9" t="inlineStr">
        <is>
          <t>crm</t>
        </is>
      </c>
      <c r="D110" s="9" t="inlineStr">
        <is>
          <t>CRM</t>
        </is>
      </c>
      <c r="E110" s="9" t="n">
        <v>4.65</v>
      </c>
      <c r="F110" s="9" t="n">
        <v>4.7</v>
      </c>
      <c r="G110" s="9" t="n">
        <v>4.6</v>
      </c>
      <c r="H110" s="9" t="n">
        <v>2020</v>
      </c>
      <c r="I110" s="9" t="inlineStr">
        <is>
          <t>Paris, France</t>
        </is>
      </c>
      <c r="J110" s="9" t="b">
        <v>0</v>
      </c>
      <c r="K110" s="9" t="b">
        <v>0</v>
      </c>
      <c r="L110" s="9" t="b">
        <v>1</v>
      </c>
      <c r="M110" s="9" t="b">
        <v>1</v>
      </c>
      <c r="N110" s="9" t="n">
        <v>24</v>
      </c>
      <c r="O110" s="9" t="n">
        <v>48</v>
      </c>
      <c r="P110" s="9" t="n">
        <v>3</v>
      </c>
      <c r="Q110" s="9" t="n">
        <v>11</v>
      </c>
      <c r="R110" s="9" t="inlineStr">
        <is>
          <t>https://www.folk.app</t>
        </is>
      </c>
      <c r="S110">
        <f>IF(M110,N110,"")</f>
        <v/>
      </c>
    </row>
    <row r="111">
      <c r="A111" s="9" t="n">
        <v>59</v>
      </c>
      <c r="B111" s="9" t="inlineStr">
        <is>
          <t>Framer</t>
        </is>
      </c>
      <c r="C111" s="9" t="inlineStr">
        <is>
          <t>website-builders</t>
        </is>
      </c>
      <c r="D111" s="9" t="inlineStr">
        <is>
          <t>Website Builders</t>
        </is>
      </c>
      <c r="E111" s="9" t="n">
        <v>4.5</v>
      </c>
      <c r="F111" s="9" t="n">
        <v>4.5</v>
      </c>
      <c r="G111" s="9" t="n">
        <v>4.5</v>
      </c>
      <c r="H111" s="9" t="n">
        <v>2014</v>
      </c>
      <c r="I111" s="9" t="inlineStr">
        <is>
          <t>Amsterdam, Netherlands</t>
        </is>
      </c>
      <c r="J111" s="9" t="b">
        <v>1</v>
      </c>
      <c r="K111" s="9" t="b">
        <v>0</v>
      </c>
      <c r="L111" s="9" t="b">
        <v>1</v>
      </c>
      <c r="M111" s="9" t="b">
        <v>1</v>
      </c>
      <c r="N111" s="9" t="n">
        <v>5</v>
      </c>
      <c r="O111" s="9" t="n">
        <v>30</v>
      </c>
      <c r="P111" s="9" t="n">
        <v>5</v>
      </c>
      <c r="Q111" s="9" t="n">
        <v>6</v>
      </c>
      <c r="R111" s="9" t="inlineStr">
        <is>
          <t>https://www.framer.com</t>
        </is>
      </c>
      <c r="S111">
        <f>IF(M111,N111,"")</f>
        <v/>
      </c>
    </row>
    <row r="112">
      <c r="A112" s="9" t="n">
        <v>103</v>
      </c>
      <c r="B112" s="9" t="inlineStr">
        <is>
          <t>Framer</t>
        </is>
      </c>
      <c r="C112" s="9" t="inlineStr">
        <is>
          <t>design-tools</t>
        </is>
      </c>
      <c r="D112" s="9" t="inlineStr">
        <is>
          <t>Design Tools</t>
        </is>
      </c>
      <c r="E112" s="9" t="n">
        <v>4.5</v>
      </c>
      <c r="F112" s="9" t="n">
        <v>4.5</v>
      </c>
      <c r="G112" s="9" t="n">
        <v>4.5</v>
      </c>
      <c r="H112" s="9" t="n">
        <v>2014</v>
      </c>
      <c r="I112" s="9" t="inlineStr">
        <is>
          <t>Amsterdam, Netherlands</t>
        </is>
      </c>
      <c r="J112" s="9" t="b">
        <v>1</v>
      </c>
      <c r="K112" s="9" t="b">
        <v>0</v>
      </c>
      <c r="L112" s="9" t="b">
        <v>0</v>
      </c>
      <c r="M112" s="9" t="b">
        <v>1</v>
      </c>
      <c r="N112" s="9" t="n">
        <v>5</v>
      </c>
      <c r="O112" s="9" t="n">
        <v>30</v>
      </c>
      <c r="P112" s="9" t="n">
        <v>4</v>
      </c>
      <c r="Q112" s="9" t="n">
        <v>20</v>
      </c>
      <c r="R112" s="9" t="inlineStr">
        <is>
          <t>https://www.framer.com</t>
        </is>
      </c>
      <c r="S112">
        <f>IF(M112,N112,"")</f>
        <v/>
      </c>
    </row>
    <row r="113">
      <c r="A113" s="9" t="n">
        <v>115</v>
      </c>
      <c r="B113" s="9" t="inlineStr">
        <is>
          <t>FreeAgent</t>
        </is>
      </c>
      <c r="C113" s="9" t="inlineStr">
        <is>
          <t>accounting</t>
        </is>
      </c>
      <c r="D113" s="9" t="inlineStr">
        <is>
          <t>Accounting</t>
        </is>
      </c>
      <c r="E113" s="9" t="n">
        <v>4.3</v>
      </c>
      <c r="F113" s="9" t="n">
        <v>4.2</v>
      </c>
      <c r="G113" s="9" t="n">
        <v>4.4</v>
      </c>
      <c r="H113" s="9" t="n">
        <v>2007</v>
      </c>
      <c r="I113" s="9" t="inlineStr">
        <is>
          <t>Edinburgh, UK (NatWest Group)</t>
        </is>
      </c>
      <c r="J113" s="9" t="b">
        <v>0</v>
      </c>
      <c r="K113" s="9" t="b">
        <v>0</v>
      </c>
      <c r="L113" s="9" t="b">
        <v>0</v>
      </c>
      <c r="M113" s="9" t="b">
        <v>1</v>
      </c>
      <c r="N113" s="9" t="n">
        <v>19</v>
      </c>
      <c r="O113" s="9" t="n">
        <v>19</v>
      </c>
      <c r="P113" s="9" t="n">
        <v>1</v>
      </c>
      <c r="Q113" s="9" t="n">
        <v>10</v>
      </c>
      <c r="R113" s="9" t="inlineStr">
        <is>
          <t>https://www.freeagent.com</t>
        </is>
      </c>
      <c r="S113">
        <f>IF(M113,N113,"")</f>
        <v/>
      </c>
    </row>
    <row r="114">
      <c r="A114" s="9" t="n">
        <v>109</v>
      </c>
      <c r="B114" s="9" t="inlineStr">
        <is>
          <t>FreshBooks</t>
        </is>
      </c>
      <c r="C114" s="9" t="inlineStr">
        <is>
          <t>accounting</t>
        </is>
      </c>
      <c r="D114" s="9" t="inlineStr">
        <is>
          <t>Accounting</t>
        </is>
      </c>
      <c r="E114" s="9" t="n">
        <v>4.5</v>
      </c>
      <c r="F114" s="9" t="n">
        <v>4.5</v>
      </c>
      <c r="G114" s="9" t="n">
        <v>4.5</v>
      </c>
      <c r="H114" s="9" t="n">
        <v>2003</v>
      </c>
      <c r="I114" s="9" t="inlineStr">
        <is>
          <t>Toronto, Canada</t>
        </is>
      </c>
      <c r="J114" s="9" t="b">
        <v>0</v>
      </c>
      <c r="K114" s="9" t="b">
        <v>0</v>
      </c>
      <c r="L114" s="9" t="b">
        <v>1</v>
      </c>
      <c r="M114" s="9" t="b">
        <v>1</v>
      </c>
      <c r="N114" s="9" t="n">
        <v>23</v>
      </c>
      <c r="O114" s="9" t="n">
        <v>76</v>
      </c>
      <c r="P114" s="9" t="n">
        <v>4</v>
      </c>
      <c r="Q114" s="9" t="n">
        <v>14</v>
      </c>
      <c r="R114" s="9" t="inlineStr">
        <is>
          <t>https://www.freshbooks.com</t>
        </is>
      </c>
      <c r="S114">
        <f>IF(M114,N114,"")</f>
        <v/>
      </c>
    </row>
    <row r="115">
      <c r="A115" s="9" t="n">
        <v>25</v>
      </c>
      <c r="B115" s="9" t="inlineStr">
        <is>
          <t>Freshsales</t>
        </is>
      </c>
      <c r="C115" s="9" t="inlineStr">
        <is>
          <t>crm</t>
        </is>
      </c>
      <c r="D115" s="9" t="inlineStr">
        <is>
          <t>CRM</t>
        </is>
      </c>
      <c r="E115" s="9" t="n">
        <v>4.5</v>
      </c>
      <c r="F115" s="9" t="n">
        <v>4.5</v>
      </c>
      <c r="G115" s="9" t="n">
        <v>4.5</v>
      </c>
      <c r="H115" s="9" t="n">
        <v>2010</v>
      </c>
      <c r="I115" s="9" t="inlineStr">
        <is>
          <t>San Mateo, CA (Freshworks)</t>
        </is>
      </c>
      <c r="J115" s="9" t="b">
        <v>1</v>
      </c>
      <c r="K115" s="9" t="b">
        <v>0</v>
      </c>
      <c r="L115" s="9" t="b">
        <v>0</v>
      </c>
      <c r="M115" s="9" t="b">
        <v>1</v>
      </c>
      <c r="N115" s="9" t="n">
        <v>11</v>
      </c>
      <c r="O115" s="9" t="n">
        <v>71</v>
      </c>
      <c r="P115" s="9" t="n">
        <v>4</v>
      </c>
      <c r="Q115" s="9" t="n">
        <v>12</v>
      </c>
      <c r="R115" s="9" t="inlineStr">
        <is>
          <t>https://www.freshworks.com/crm/sales/</t>
        </is>
      </c>
      <c r="S115">
        <f>IF(M115,N115,"")</f>
        <v/>
      </c>
    </row>
    <row r="116">
      <c r="A116" s="9" t="n">
        <v>149</v>
      </c>
      <c r="B116" s="9" t="inlineStr">
        <is>
          <t>GIMP</t>
        </is>
      </c>
      <c r="C116" s="9" t="inlineStr">
        <is>
          <t>design-tools</t>
        </is>
      </c>
      <c r="D116" s="9" t="inlineStr">
        <is>
          <t>Design Tools</t>
        </is>
      </c>
      <c r="E116" s="9" t="n">
        <v>4.35</v>
      </c>
      <c r="F116" s="9" t="n">
        <v>4.3</v>
      </c>
      <c r="G116" s="9" t="n">
        <v>4.4</v>
      </c>
      <c r="H116" s="9" t="n">
        <v>1996</v>
      </c>
      <c r="I116" s="9" t="inlineStr">
        <is>
          <t>Open Source Community</t>
        </is>
      </c>
      <c r="J116" s="9" t="b">
        <v>1</v>
      </c>
      <c r="K116" s="9" t="b">
        <v>0</v>
      </c>
      <c r="L116" s="9" t="b">
        <v>0</v>
      </c>
      <c r="M116" s="9" t="b">
        <v>1</v>
      </c>
      <c r="N116" s="9" t="n">
        <v/>
      </c>
      <c r="O116" s="9" t="n">
        <v>0</v>
      </c>
      <c r="P116" s="9" t="n">
        <v>1</v>
      </c>
      <c r="Q116" s="9" t="n">
        <v>6</v>
      </c>
      <c r="R116" s="9" t="inlineStr">
        <is>
          <t>https://www.gimp.org</t>
        </is>
      </c>
      <c r="S116">
        <f>IF(M116,N116,"")</f>
        <v/>
      </c>
    </row>
    <row r="117">
      <c r="A117" s="9" t="n">
        <v>240</v>
      </c>
      <c r="B117" s="9" t="inlineStr">
        <is>
          <t>GPT-4o</t>
        </is>
      </c>
      <c r="C117" s="9" t="inlineStr">
        <is>
          <t>llm</t>
        </is>
      </c>
      <c r="D117" s="9" t="inlineStr">
        <is>
          <t>Large Language Models</t>
        </is>
      </c>
      <c r="E117" s="9" t="n">
        <v>4.65</v>
      </c>
      <c r="F117" s="9" t="n">
        <v>4.7</v>
      </c>
      <c r="G117" s="9" t="n">
        <v>4.6</v>
      </c>
      <c r="H117" s="9" t="n">
        <v>2024</v>
      </c>
      <c r="I117" s="9" t="n">
        <v/>
      </c>
      <c r="J117" s="9" t="b">
        <v>1</v>
      </c>
      <c r="K117" s="9" t="b">
        <v>0</v>
      </c>
      <c r="L117" s="9" t="b">
        <v>0</v>
      </c>
      <c r="M117" s="9" t="b">
        <v>1</v>
      </c>
      <c r="N117" s="9" t="n">
        <v>20</v>
      </c>
      <c r="O117" s="9" t="n">
        <v>30</v>
      </c>
      <c r="P117" s="9" t="n">
        <v>3</v>
      </c>
      <c r="Q117" s="9" t="n">
        <v>19</v>
      </c>
      <c r="R117" s="9" t="inlineStr">
        <is>
          <t>https://openai.com/gpt-4o</t>
        </is>
      </c>
      <c r="S117">
        <f>IF(M117,N117,"")</f>
        <v/>
      </c>
    </row>
    <row r="118">
      <c r="A118" s="9" t="n">
        <v>227</v>
      </c>
      <c r="B118" s="9" t="inlineStr">
        <is>
          <t>Gamma</t>
        </is>
      </c>
      <c r="C118" s="9" t="inlineStr">
        <is>
          <t>ai-productivity</t>
        </is>
      </c>
      <c r="D118" s="9" t="inlineStr">
        <is>
          <t>AI Productivity</t>
        </is>
      </c>
      <c r="E118" s="9" t="n">
        <v>4.7</v>
      </c>
      <c r="F118" s="9" t="n">
        <v>4.7</v>
      </c>
      <c r="G118" s="9" t="n">
        <v>4.7</v>
      </c>
      <c r="H118" s="9" t="n">
        <v>2020</v>
      </c>
      <c r="I118" s="9" t="n">
        <v/>
      </c>
      <c r="J118" s="9" t="b">
        <v>1</v>
      </c>
      <c r="K118" s="9" t="b">
        <v>0</v>
      </c>
      <c r="L118" s="9" t="b">
        <v>0</v>
      </c>
      <c r="M118" s="9" t="b">
        <v>1</v>
      </c>
      <c r="N118" s="9" t="n">
        <v>8</v>
      </c>
      <c r="O118" s="9" t="n">
        <v>15</v>
      </c>
      <c r="P118" s="9" t="n">
        <v>3</v>
      </c>
      <c r="Q118" s="9" t="n">
        <v>10</v>
      </c>
      <c r="R118" s="9" t="inlineStr">
        <is>
          <t>https://gamma.app</t>
        </is>
      </c>
      <c r="S118">
        <f>IF(M118,N118,"")</f>
        <v/>
      </c>
    </row>
    <row r="119">
      <c r="A119" s="9" t="n">
        <v>303</v>
      </c>
      <c r="B119" s="9" t="inlineStr">
        <is>
          <t>Gate.io</t>
        </is>
      </c>
      <c r="C119" s="9" t="inlineStr">
        <is>
          <t>crypto-exchanges</t>
        </is>
      </c>
      <c r="D119" s="9" t="inlineStr">
        <is>
          <t>Crypto Exchanges</t>
        </is>
      </c>
      <c r="E119" s="9" t="n">
        <v>3.9</v>
      </c>
      <c r="F119" s="9" t="n">
        <v>3.9</v>
      </c>
      <c r="G119" s="9" t="n">
        <v/>
      </c>
      <c r="H119" s="9" t="n">
        <v>2013</v>
      </c>
      <c r="I119" s="9" t="inlineStr">
        <is>
          <t>Cayman Islands</t>
        </is>
      </c>
      <c r="J119" s="9" t="b">
        <v>1</v>
      </c>
      <c r="K119" s="9" t="b">
        <v>0</v>
      </c>
      <c r="L119" s="9" t="b">
        <v>1</v>
      </c>
      <c r="M119" s="9" t="b">
        <v>1</v>
      </c>
      <c r="N119" s="9" t="n">
        <v/>
      </c>
      <c r="O119" s="9" t="n">
        <v>0</v>
      </c>
      <c r="P119" s="9" t="n">
        <v>3</v>
      </c>
      <c r="Q119" s="9" t="n">
        <v>9</v>
      </c>
      <c r="R119" s="9" t="inlineStr">
        <is>
          <t>https://www.gate.io</t>
        </is>
      </c>
      <c r="S119">
        <f>IF(M119,N119,"")</f>
        <v/>
      </c>
    </row>
    <row r="120">
      <c r="A120" s="9" t="n">
        <v>242</v>
      </c>
      <c r="B120" s="9" t="inlineStr">
        <is>
          <t>Gemini 1.5 Pro</t>
        </is>
      </c>
      <c r="C120" s="9" t="inlineStr">
        <is>
          <t>llm</t>
        </is>
      </c>
      <c r="D120" s="9" t="inlineStr">
        <is>
          <t>Large Language Models</t>
        </is>
      </c>
      <c r="E120" s="9" t="n">
        <v>4.45</v>
      </c>
      <c r="F120" s="9" t="n">
        <v>4.5</v>
      </c>
      <c r="G120" s="9" t="n">
        <v>4.4</v>
      </c>
      <c r="H120" s="9" t="n">
        <v>2024</v>
      </c>
      <c r="I120" s="9" t="n">
        <v/>
      </c>
      <c r="J120" s="9" t="b">
        <v>1</v>
      </c>
      <c r="K120" s="9" t="b">
        <v>0</v>
      </c>
      <c r="L120" s="9" t="b">
        <v>0</v>
      </c>
      <c r="M120" s="9" t="b">
        <v>1</v>
      </c>
      <c r="N120" s="9" t="n">
        <v>20</v>
      </c>
      <c r="O120" s="9" t="n">
        <v>20</v>
      </c>
      <c r="P120" s="9" t="n">
        <v>2</v>
      </c>
      <c r="Q120" s="9" t="n">
        <v>19</v>
      </c>
      <c r="R120" s="9" t="inlineStr">
        <is>
          <t>https://gemini.google.com</t>
        </is>
      </c>
      <c r="S120">
        <f>IF(M120,N120,"")</f>
        <v/>
      </c>
    </row>
    <row r="121">
      <c r="A121" s="9" t="n">
        <v>239</v>
      </c>
      <c r="B121" s="9" t="inlineStr">
        <is>
          <t>Gemini Advanced</t>
        </is>
      </c>
      <c r="C121" s="9" t="inlineStr">
        <is>
          <t>llm</t>
        </is>
      </c>
      <c r="D121" s="9" t="inlineStr">
        <is>
          <t>Large Language Models</t>
        </is>
      </c>
      <c r="E121" s="9" t="n">
        <v>4.5</v>
      </c>
      <c r="F121" s="9" t="n">
        <v>4.5</v>
      </c>
      <c r="G121" s="9" t="n">
        <v>4.5</v>
      </c>
      <c r="H121" s="9" t="n">
        <v>2024</v>
      </c>
      <c r="I121" s="9" t="n">
        <v/>
      </c>
      <c r="J121" s="9" t="b">
        <v>0</v>
      </c>
      <c r="K121" s="9" t="b">
        <v>0</v>
      </c>
      <c r="L121" s="9" t="b">
        <v>0</v>
      </c>
      <c r="M121" s="9" t="b">
        <v>1</v>
      </c>
      <c r="N121" s="9" t="n">
        <v>19.99</v>
      </c>
      <c r="O121" s="9" t="n">
        <v>19.99</v>
      </c>
      <c r="P121" s="9" t="n">
        <v>1</v>
      </c>
      <c r="Q121" s="9" t="n">
        <v>11</v>
      </c>
      <c r="R121" s="9" t="inlineStr">
        <is>
          <t>https://gemini.google.com/advanced</t>
        </is>
      </c>
      <c r="S121">
        <f>IF(M121,N121,"")</f>
        <v/>
      </c>
    </row>
    <row r="122">
      <c r="A122" s="9" t="n">
        <v>44</v>
      </c>
      <c r="B122" s="9" t="inlineStr">
        <is>
          <t>GetResponse</t>
        </is>
      </c>
      <c r="C122" s="9" t="inlineStr">
        <is>
          <t>email-marketing</t>
        </is>
      </c>
      <c r="D122" s="9" t="inlineStr">
        <is>
          <t>Email Marketing</t>
        </is>
      </c>
      <c r="E122" s="9" t="n">
        <v>4.2</v>
      </c>
      <c r="F122" s="9" t="n">
        <v>4.2</v>
      </c>
      <c r="G122" s="9" t="n">
        <v>4.2</v>
      </c>
      <c r="H122" s="9" t="n">
        <v>1998</v>
      </c>
      <c r="I122" s="9" t="inlineStr">
        <is>
          <t>Gdańsk, Poland</t>
        </is>
      </c>
      <c r="J122" s="9" t="b">
        <v>1</v>
      </c>
      <c r="K122" s="9" t="b">
        <v>0</v>
      </c>
      <c r="L122" s="9" t="b">
        <v>1</v>
      </c>
      <c r="M122" s="9" t="b">
        <v>1</v>
      </c>
      <c r="N122" s="9" t="n">
        <v>19</v>
      </c>
      <c r="O122" s="9" t="n">
        <v>119</v>
      </c>
      <c r="P122" s="9" t="n">
        <v>5</v>
      </c>
      <c r="Q122" s="9" t="n">
        <v>16</v>
      </c>
      <c r="R122" s="9" t="inlineStr">
        <is>
          <t>https://www.getresponse.com</t>
        </is>
      </c>
      <c r="S122">
        <f>IF(M122,N122,"")</f>
        <v/>
      </c>
    </row>
    <row r="123">
      <c r="A123" s="9" t="n">
        <v>61</v>
      </c>
      <c r="B123" s="9" t="inlineStr">
        <is>
          <t>Ghost</t>
        </is>
      </c>
      <c r="C123" s="9" t="inlineStr">
        <is>
          <t>website-builders</t>
        </is>
      </c>
      <c r="D123" s="9" t="inlineStr">
        <is>
          <t>Website Builders</t>
        </is>
      </c>
      <c r="E123" s="9" t="n">
        <v>4.35</v>
      </c>
      <c r="F123" s="9" t="n">
        <v>4.1</v>
      </c>
      <c r="G123" s="9" t="n">
        <v>4.6</v>
      </c>
      <c r="H123" s="9" t="n">
        <v>2013</v>
      </c>
      <c r="I123" s="9" t="inlineStr">
        <is>
          <t>Singapore</t>
        </is>
      </c>
      <c r="J123" s="9" t="b">
        <v>0</v>
      </c>
      <c r="K123" s="9" t="b">
        <v>0</v>
      </c>
      <c r="L123" s="9" t="b">
        <v>1</v>
      </c>
      <c r="M123" s="9" t="b">
        <v>1</v>
      </c>
      <c r="N123" s="9" t="n">
        <v>15</v>
      </c>
      <c r="O123" s="9" t="n">
        <v>199</v>
      </c>
      <c r="P123" s="9" t="n">
        <v>4</v>
      </c>
      <c r="Q123" s="9" t="n">
        <v>14</v>
      </c>
      <c r="R123" s="9" t="inlineStr">
        <is>
          <t>https://ghost.org</t>
        </is>
      </c>
      <c r="S123">
        <f>IF(M123,N123,"")</f>
        <v/>
      </c>
    </row>
    <row r="124">
      <c r="A124" s="9" t="n">
        <v>176</v>
      </c>
      <c r="B124" s="9" t="inlineStr">
        <is>
          <t>GitHub Copilot</t>
        </is>
      </c>
      <c r="C124" s="9" t="inlineStr">
        <is>
          <t>ai-coding</t>
        </is>
      </c>
      <c r="D124" s="9" t="inlineStr">
        <is>
          <t>AI Coding</t>
        </is>
      </c>
      <c r="E124" s="9" t="n">
        <v>4.55</v>
      </c>
      <c r="F124" s="9" t="n">
        <v>4.5</v>
      </c>
      <c r="G124" s="9" t="n">
        <v>4.6</v>
      </c>
      <c r="H124" s="9" t="n">
        <v>2021</v>
      </c>
      <c r="I124" s="9" t="n">
        <v/>
      </c>
      <c r="J124" s="9" t="b">
        <v>1</v>
      </c>
      <c r="K124" s="9" t="b">
        <v>0</v>
      </c>
      <c r="L124" s="9" t="b">
        <v>1</v>
      </c>
      <c r="M124" s="9" t="b">
        <v>1</v>
      </c>
      <c r="N124" s="9" t="n">
        <v>10</v>
      </c>
      <c r="O124" s="9" t="n">
        <v>39</v>
      </c>
      <c r="P124" s="9" t="n">
        <v>5</v>
      </c>
      <c r="Q124" s="9" t="n">
        <v>6</v>
      </c>
      <c r="R124" s="9" t="inlineStr">
        <is>
          <t>https://github.com/features/copilot</t>
        </is>
      </c>
      <c r="S124">
        <f>IF(M124,N124,"")</f>
        <v/>
      </c>
    </row>
    <row r="125">
      <c r="A125" s="9" t="n">
        <v>274</v>
      </c>
      <c r="B125" s="9" t="inlineStr">
        <is>
          <t>Glassnode</t>
        </is>
      </c>
      <c r="C125" s="9" t="inlineStr">
        <is>
          <t>crypto-analytics</t>
        </is>
      </c>
      <c r="D125" s="9" t="inlineStr">
        <is>
          <t>Crypto Analytics</t>
        </is>
      </c>
      <c r="E125" s="9" t="n">
        <v>4.5</v>
      </c>
      <c r="F125" s="9" t="n">
        <v>4.5</v>
      </c>
      <c r="G125" s="9" t="n">
        <v/>
      </c>
      <c r="H125" s="9" t="n">
        <v>2018</v>
      </c>
      <c r="I125" s="9" t="inlineStr">
        <is>
          <t>Zug, Switzerland</t>
        </is>
      </c>
      <c r="J125" s="9" t="b">
        <v>1</v>
      </c>
      <c r="K125" s="9" t="b">
        <v>0</v>
      </c>
      <c r="L125" s="9" t="b">
        <v>0</v>
      </c>
      <c r="M125" s="9" t="b">
        <v>1</v>
      </c>
      <c r="N125" s="9" t="n">
        <v>49</v>
      </c>
      <c r="O125" s="9" t="n">
        <v>999</v>
      </c>
      <c r="P125" s="9" t="n">
        <v>3</v>
      </c>
      <c r="Q125" s="9" t="n">
        <v>8</v>
      </c>
      <c r="R125" s="9" t="inlineStr">
        <is>
          <t>https://glassnode.com</t>
        </is>
      </c>
      <c r="S125">
        <f>IF(M125,N125,"")</f>
        <v/>
      </c>
    </row>
    <row r="126">
      <c r="A126" s="9" t="n">
        <v>128</v>
      </c>
      <c r="B126" s="9" t="inlineStr">
        <is>
          <t>GoTo Meeting</t>
        </is>
      </c>
      <c r="C126" s="9" t="inlineStr">
        <is>
          <t>video-conferencing</t>
        </is>
      </c>
      <c r="D126" s="9" t="inlineStr">
        <is>
          <t>Video Conferencing</t>
        </is>
      </c>
      <c r="E126" s="9" t="n">
        <v>4.3</v>
      </c>
      <c r="F126" s="9" t="n">
        <v>4.2</v>
      </c>
      <c r="G126" s="9" t="n">
        <v>4.4</v>
      </c>
      <c r="H126" s="9" t="n">
        <v>2004</v>
      </c>
      <c r="I126" s="9" t="inlineStr">
        <is>
          <t>Boston, MA</t>
        </is>
      </c>
      <c r="J126" s="9" t="b">
        <v>0</v>
      </c>
      <c r="K126" s="9" t="b">
        <v>0</v>
      </c>
      <c r="L126" s="9" t="b">
        <v>0</v>
      </c>
      <c r="M126" s="9" t="b">
        <v>1</v>
      </c>
      <c r="N126" s="9" t="n">
        <v>12</v>
      </c>
      <c r="O126" s="9" t="n">
        <v>16</v>
      </c>
      <c r="P126" s="9" t="n">
        <v>2</v>
      </c>
      <c r="Q126" s="9" t="n">
        <v>12</v>
      </c>
      <c r="R126" s="9" t="inlineStr">
        <is>
          <t>https://www.goto.com/meeting</t>
        </is>
      </c>
      <c r="S126">
        <f>IF(M126,N126,"")</f>
        <v/>
      </c>
    </row>
    <row r="127">
      <c r="A127" s="9" t="n">
        <v>213</v>
      </c>
      <c r="B127" s="9" t="inlineStr">
        <is>
          <t>Google AI Studio</t>
        </is>
      </c>
      <c r="C127" s="9" t="inlineStr">
        <is>
          <t>llm</t>
        </is>
      </c>
      <c r="D127" s="9" t="inlineStr">
        <is>
          <t>Large Language Models</t>
        </is>
      </c>
      <c r="E127" s="9" t="n">
        <v>4.45</v>
      </c>
      <c r="F127" s="9" t="n">
        <v>4.5</v>
      </c>
      <c r="G127" s="9" t="n">
        <v>4.4</v>
      </c>
      <c r="H127" s="9" t="n">
        <v>2023</v>
      </c>
      <c r="I127" s="9" t="n">
        <v/>
      </c>
      <c r="J127" s="9" t="b">
        <v>1</v>
      </c>
      <c r="K127" s="9" t="b">
        <v>0</v>
      </c>
      <c r="L127" s="9" t="b">
        <v>0</v>
      </c>
      <c r="M127" s="9" t="b">
        <v>1</v>
      </c>
      <c r="N127" s="9" t="n">
        <v/>
      </c>
      <c r="O127" s="9" t="n">
        <v>0</v>
      </c>
      <c r="P127" s="9" t="n">
        <v>2</v>
      </c>
      <c r="Q127" s="9" t="n">
        <v>6</v>
      </c>
      <c r="R127" s="9" t="inlineStr">
        <is>
          <t>https://aistudio.google.com</t>
        </is>
      </c>
      <c r="S127">
        <f>IF(M127,N127,"")</f>
        <v/>
      </c>
    </row>
    <row r="128">
      <c r="A128" s="9" t="n">
        <v>85</v>
      </c>
      <c r="B128" s="9" t="inlineStr">
        <is>
          <t>Google Cloud Platform</t>
        </is>
      </c>
      <c r="C128" s="9" t="inlineStr">
        <is>
          <t>cloud-hosting</t>
        </is>
      </c>
      <c r="D128" s="9" t="inlineStr">
        <is>
          <t>Cloud Hosting</t>
        </is>
      </c>
      <c r="E128" s="9" t="n">
        <v>4.55</v>
      </c>
      <c r="F128" s="9" t="n">
        <v>4.5</v>
      </c>
      <c r="G128" s="9" t="n">
        <v>4.6</v>
      </c>
      <c r="H128" s="9" t="n">
        <v>2008</v>
      </c>
      <c r="I128" s="9" t="inlineStr">
        <is>
          <t>Mountain View, CA</t>
        </is>
      </c>
      <c r="J128" s="9" t="b">
        <v>1</v>
      </c>
      <c r="K128" s="9" t="b">
        <v>0</v>
      </c>
      <c r="L128" s="9" t="b">
        <v>1</v>
      </c>
      <c r="M128" s="9" t="b">
        <v>1</v>
      </c>
      <c r="N128" s="9" t="n">
        <v/>
      </c>
      <c r="O128" s="9" t="n">
        <v>0</v>
      </c>
      <c r="P128" s="9" t="n">
        <v>2</v>
      </c>
      <c r="Q128" s="9" t="n">
        <v>17</v>
      </c>
      <c r="R128" s="9" t="inlineStr">
        <is>
          <t>https://cloud.google.com</t>
        </is>
      </c>
      <c r="S128">
        <f>IF(M128,N128,"")</f>
        <v/>
      </c>
    </row>
    <row r="129">
      <c r="A129" s="9" t="n">
        <v>153</v>
      </c>
      <c r="B129" s="9" t="inlineStr">
        <is>
          <t>Google Gemini</t>
        </is>
      </c>
      <c r="C129" s="9" t="inlineStr">
        <is>
          <t>llm</t>
        </is>
      </c>
      <c r="D129" s="9" t="inlineStr">
        <is>
          <t>Large Language Models</t>
        </is>
      </c>
      <c r="E129" s="9" t="n">
        <v>4.25</v>
      </c>
      <c r="F129" s="9" t="n">
        <v>4.3</v>
      </c>
      <c r="G129" s="9" t="n">
        <v>4.2</v>
      </c>
      <c r="H129" s="9" t="n">
        <v>2023</v>
      </c>
      <c r="I129" s="9" t="n">
        <v/>
      </c>
      <c r="J129" s="9" t="b">
        <v>1</v>
      </c>
      <c r="K129" s="9" t="b">
        <v>0</v>
      </c>
      <c r="L129" s="9" t="b">
        <v>0</v>
      </c>
      <c r="M129" s="9" t="b">
        <v>1</v>
      </c>
      <c r="N129" s="9" t="n">
        <v>20</v>
      </c>
      <c r="O129" s="9" t="n">
        <v>20</v>
      </c>
      <c r="P129" s="9" t="n">
        <v>2</v>
      </c>
      <c r="Q129" s="9" t="n">
        <v>13</v>
      </c>
      <c r="R129" s="9" t="inlineStr">
        <is>
          <t>https://gemini.google.com</t>
        </is>
      </c>
      <c r="S129">
        <f>IF(M129,N129,"")</f>
        <v/>
      </c>
    </row>
    <row r="130">
      <c r="A130" s="9" t="n">
        <v>123</v>
      </c>
      <c r="B130" s="9" t="inlineStr">
        <is>
          <t>Google Meet</t>
        </is>
      </c>
      <c r="C130" s="9" t="inlineStr">
        <is>
          <t>video-conferencing</t>
        </is>
      </c>
      <c r="D130" s="9" t="inlineStr">
        <is>
          <t>Video Conferencing</t>
        </is>
      </c>
      <c r="E130" s="9" t="n">
        <v>4.55</v>
      </c>
      <c r="F130" s="9" t="n">
        <v>4.6</v>
      </c>
      <c r="G130" s="9" t="n">
        <v>4.5</v>
      </c>
      <c r="H130" s="9" t="n">
        <v>2017</v>
      </c>
      <c r="I130" s="9" t="inlineStr">
        <is>
          <t>Mountain View, CA (Google)</t>
        </is>
      </c>
      <c r="J130" s="9" t="b">
        <v>1</v>
      </c>
      <c r="K130" s="9" t="b">
        <v>0</v>
      </c>
      <c r="L130" s="9" t="b">
        <v>0</v>
      </c>
      <c r="M130" s="9" t="b">
        <v>1</v>
      </c>
      <c r="N130" s="9" t="n">
        <v>7.2</v>
      </c>
      <c r="O130" s="9" t="n">
        <v>21.6</v>
      </c>
      <c r="P130" s="9" t="n">
        <v>4</v>
      </c>
      <c r="Q130" s="9" t="n">
        <v>8</v>
      </c>
      <c r="R130" s="9" t="inlineStr">
        <is>
          <t>https://meet.google.com</t>
        </is>
      </c>
      <c r="S130">
        <f>IF(M130,N130,"")</f>
        <v/>
      </c>
    </row>
    <row r="131">
      <c r="A131" s="9" t="n">
        <v>156</v>
      </c>
      <c r="B131" s="9" t="inlineStr">
        <is>
          <t>Grammarly</t>
        </is>
      </c>
      <c r="C131" s="9" t="inlineStr">
        <is>
          <t>ai-writing</t>
        </is>
      </c>
      <c r="D131" s="9" t="inlineStr">
        <is>
          <t>AI Writing</t>
        </is>
      </c>
      <c r="E131" s="9" t="n">
        <v>4.7</v>
      </c>
      <c r="F131" s="9" t="n">
        <v>4.7</v>
      </c>
      <c r="G131" s="9" t="n">
        <v>4.7</v>
      </c>
      <c r="H131" s="9" t="n">
        <v>2009</v>
      </c>
      <c r="I131" s="9" t="n">
        <v/>
      </c>
      <c r="J131" s="9" t="b">
        <v>1</v>
      </c>
      <c r="K131" s="9" t="b">
        <v>0</v>
      </c>
      <c r="L131" s="9" t="b">
        <v>1</v>
      </c>
      <c r="M131" s="9" t="b">
        <v>1</v>
      </c>
      <c r="N131" s="9" t="n">
        <v>12</v>
      </c>
      <c r="O131" s="9" t="n">
        <v>12</v>
      </c>
      <c r="P131" s="9" t="n">
        <v>3</v>
      </c>
      <c r="Q131" s="9" t="n">
        <v>9</v>
      </c>
      <c r="R131" s="9" t="inlineStr">
        <is>
          <t>https://www.grammarly.com</t>
        </is>
      </c>
      <c r="S131">
        <f>IF(M131,N131,"")</f>
        <v/>
      </c>
    </row>
    <row r="132">
      <c r="A132" s="9" t="n">
        <v>235</v>
      </c>
      <c r="B132" s="9" t="inlineStr">
        <is>
          <t>Grok</t>
        </is>
      </c>
      <c r="C132" s="9" t="inlineStr">
        <is>
          <t>llm</t>
        </is>
      </c>
      <c r="D132" s="9" t="inlineStr">
        <is>
          <t>Large Language Models</t>
        </is>
      </c>
      <c r="E132" s="9" t="n">
        <v>4.35</v>
      </c>
      <c r="F132" s="9" t="n">
        <v>4.3</v>
      </c>
      <c r="G132" s="9" t="n">
        <v>4.4</v>
      </c>
      <c r="H132" s="9" t="n">
        <v>2023</v>
      </c>
      <c r="I132" s="9" t="n">
        <v/>
      </c>
      <c r="J132" s="9" t="b">
        <v>1</v>
      </c>
      <c r="K132" s="9" t="b">
        <v>0</v>
      </c>
      <c r="L132" s="9" t="b">
        <v>0</v>
      </c>
      <c r="M132" s="9" t="b">
        <v>1</v>
      </c>
      <c r="N132" s="9" t="n">
        <v>16</v>
      </c>
      <c r="O132" s="9" t="n">
        <v>16</v>
      </c>
      <c r="P132" s="9" t="n">
        <v>2</v>
      </c>
      <c r="Q132" s="9" t="n">
        <v>12</v>
      </c>
      <c r="R132" s="9" t="inlineStr">
        <is>
          <t>https://x.ai/grok</t>
        </is>
      </c>
      <c r="S132">
        <f>IF(M132,N132,"")</f>
        <v/>
      </c>
    </row>
    <row r="133">
      <c r="A133" s="9" t="n">
        <v>246</v>
      </c>
      <c r="B133" s="9" t="inlineStr">
        <is>
          <t>Grok 2</t>
        </is>
      </c>
      <c r="C133" s="9" t="inlineStr">
        <is>
          <t>llm</t>
        </is>
      </c>
      <c r="D133" s="9" t="inlineStr">
        <is>
          <t>Large Language Models</t>
        </is>
      </c>
      <c r="E133" s="9" t="n">
        <v>4.15</v>
      </c>
      <c r="F133" s="9" t="n">
        <v>4.2</v>
      </c>
      <c r="G133" s="9" t="n">
        <v>4.1</v>
      </c>
      <c r="H133" s="9" t="n">
        <v>2024</v>
      </c>
      <c r="I133" s="9" t="n">
        <v/>
      </c>
      <c r="J133" s="9" t="b">
        <v>1</v>
      </c>
      <c r="K133" s="9" t="b">
        <v>0</v>
      </c>
      <c r="L133" s="9" t="b">
        <v>0</v>
      </c>
      <c r="M133" s="9" t="b">
        <v>1</v>
      </c>
      <c r="N133" s="9" t="n">
        <v>8</v>
      </c>
      <c r="O133" s="9" t="n">
        <v>16</v>
      </c>
      <c r="P133" s="9" t="n">
        <v>3</v>
      </c>
      <c r="Q133" s="9" t="n">
        <v>15</v>
      </c>
      <c r="R133" s="9" t="inlineStr">
        <is>
          <t>https://x.ai/grok</t>
        </is>
      </c>
      <c r="S133">
        <f>IF(M133,N133,"")</f>
        <v/>
      </c>
    </row>
    <row r="134">
      <c r="A134" s="9" t="n">
        <v>117</v>
      </c>
      <c r="B134" s="9" t="inlineStr">
        <is>
          <t>Harvest</t>
        </is>
      </c>
      <c r="C134" s="9" t="inlineStr">
        <is>
          <t>accounting</t>
        </is>
      </c>
      <c r="D134" s="9" t="inlineStr">
        <is>
          <t>Accounting</t>
        </is>
      </c>
      <c r="E134" s="9" t="n">
        <v>4.45</v>
      </c>
      <c r="F134" s="9" t="n">
        <v>4.3</v>
      </c>
      <c r="G134" s="9" t="n">
        <v>4.6</v>
      </c>
      <c r="H134" s="9" t="n">
        <v>2006</v>
      </c>
      <c r="I134" s="9" t="inlineStr">
        <is>
          <t>New York, NY</t>
        </is>
      </c>
      <c r="J134" s="9" t="b">
        <v>1</v>
      </c>
      <c r="K134" s="9" t="b">
        <v>0</v>
      </c>
      <c r="L134" s="9" t="b">
        <v>0</v>
      </c>
      <c r="M134" s="9" t="b">
        <v>1</v>
      </c>
      <c r="N134" s="9" t="n">
        <v>10.8</v>
      </c>
      <c r="O134" s="9" t="n">
        <v>10.8</v>
      </c>
      <c r="P134" s="9" t="n">
        <v>2</v>
      </c>
      <c r="Q134" s="9" t="n">
        <v>9</v>
      </c>
      <c r="R134" s="9" t="inlineStr">
        <is>
          <t>https://www.getharvest.com</t>
        </is>
      </c>
      <c r="S134">
        <f>IF(M134,N134,"")</f>
        <v/>
      </c>
    </row>
    <row r="135">
      <c r="A135" s="9" t="n">
        <v>11</v>
      </c>
      <c r="B135" s="9" t="inlineStr">
        <is>
          <t>Height</t>
        </is>
      </c>
      <c r="C135" s="9" t="inlineStr">
        <is>
          <t>project-management</t>
        </is>
      </c>
      <c r="D135" s="9" t="inlineStr">
        <is>
          <t>Project Management</t>
        </is>
      </c>
      <c r="E135" s="9" t="n">
        <v>4.75</v>
      </c>
      <c r="F135" s="9" t="n">
        <v>4.8</v>
      </c>
      <c r="G135" s="9" t="n">
        <v>4.7</v>
      </c>
      <c r="H135" s="9" t="n">
        <v>2019</v>
      </c>
      <c r="I135" s="9" t="inlineStr">
        <is>
          <t>San Francisco, CA</t>
        </is>
      </c>
      <c r="J135" s="9" t="b">
        <v>1</v>
      </c>
      <c r="K135" s="9" t="b">
        <v>0</v>
      </c>
      <c r="L135" s="9" t="b">
        <v>0</v>
      </c>
      <c r="M135" s="9" t="b">
        <v>1</v>
      </c>
      <c r="N135" s="9" t="n">
        <v>8.5</v>
      </c>
      <c r="O135" s="9" t="n">
        <v>15</v>
      </c>
      <c r="P135" s="9" t="n">
        <v>3</v>
      </c>
      <c r="Q135" s="9" t="n">
        <v>7</v>
      </c>
      <c r="R135" s="9" t="inlineStr">
        <is>
          <t>https://height.app</t>
        </is>
      </c>
      <c r="S135">
        <f>IF(M135,N135,"")</f>
        <v/>
      </c>
    </row>
    <row r="136">
      <c r="A136" s="9" t="n">
        <v>82</v>
      </c>
      <c r="B136" s="9" t="inlineStr">
        <is>
          <t>Hetzner</t>
        </is>
      </c>
      <c r="C136" s="9" t="inlineStr">
        <is>
          <t>cloud-hosting</t>
        </is>
      </c>
      <c r="D136" s="9" t="inlineStr">
        <is>
          <t>Cloud Hosting</t>
        </is>
      </c>
      <c r="E136" s="9" t="n">
        <v>4.65</v>
      </c>
      <c r="F136" s="9" t="n">
        <v>4.6</v>
      </c>
      <c r="G136" s="9" t="n">
        <v>4.7</v>
      </c>
      <c r="H136" s="9" t="n">
        <v>1997</v>
      </c>
      <c r="I136" s="9" t="inlineStr">
        <is>
          <t>Gunzenhausen, Germany</t>
        </is>
      </c>
      <c r="J136" s="9" t="b">
        <v>0</v>
      </c>
      <c r="K136" s="9" t="b">
        <v>0</v>
      </c>
      <c r="L136" s="9" t="b">
        <v>0</v>
      </c>
      <c r="M136" s="9" t="b">
        <v>1</v>
      </c>
      <c r="N136" s="9" t="n">
        <v>4.35</v>
      </c>
      <c r="O136" s="9" t="n">
        <v>44</v>
      </c>
      <c r="P136" s="9" t="n">
        <v>4</v>
      </c>
      <c r="Q136" s="9" t="n">
        <v>7</v>
      </c>
      <c r="R136" s="9" t="inlineStr">
        <is>
          <t>https://www.hetzner.com</t>
        </is>
      </c>
      <c r="S136">
        <f>IF(M136,N136,"")</f>
        <v/>
      </c>
    </row>
    <row r="137">
      <c r="A137" s="9" t="n">
        <v>173</v>
      </c>
      <c r="B137" s="9" t="inlineStr">
        <is>
          <t>HeyGen</t>
        </is>
      </c>
      <c r="C137" s="9" t="inlineStr">
        <is>
          <t>ai-video</t>
        </is>
      </c>
      <c r="D137" s="9" t="inlineStr">
        <is>
          <t>AI Video</t>
        </is>
      </c>
      <c r="E137" s="9" t="n">
        <v>4.75</v>
      </c>
      <c r="F137" s="9" t="n">
        <v>4.8</v>
      </c>
      <c r="G137" s="9" t="n">
        <v>4.7</v>
      </c>
      <c r="H137" s="9" t="n">
        <v>2020</v>
      </c>
      <c r="I137" s="9" t="n">
        <v/>
      </c>
      <c r="J137" s="9" t="b">
        <v>1</v>
      </c>
      <c r="K137" s="9" t="b">
        <v>0</v>
      </c>
      <c r="L137" s="9" t="b">
        <v>0</v>
      </c>
      <c r="M137" s="9" t="b">
        <v>1</v>
      </c>
      <c r="N137" s="9" t="n">
        <v>29</v>
      </c>
      <c r="O137" s="9" t="n">
        <v>99</v>
      </c>
      <c r="P137" s="9" t="n">
        <v>3</v>
      </c>
      <c r="Q137" s="9" t="n">
        <v>8</v>
      </c>
      <c r="R137" s="9" t="inlineStr">
        <is>
          <t>https://heygen.com</t>
        </is>
      </c>
      <c r="S137">
        <f>IF(M137,N137,"")</f>
        <v/>
      </c>
    </row>
    <row r="138">
      <c r="A138" s="9" t="n">
        <v>12</v>
      </c>
      <c r="B138" s="9" t="inlineStr">
        <is>
          <t>Hive</t>
        </is>
      </c>
      <c r="C138" s="9" t="inlineStr">
        <is>
          <t>project-management</t>
        </is>
      </c>
      <c r="D138" s="9" t="inlineStr">
        <is>
          <t>Project Management</t>
        </is>
      </c>
      <c r="E138" s="9" t="n">
        <v>4.55</v>
      </c>
      <c r="F138" s="9" t="n">
        <v>4.6</v>
      </c>
      <c r="G138" s="9" t="n">
        <v>4.5</v>
      </c>
      <c r="H138" s="9" t="n">
        <v>2015</v>
      </c>
      <c r="I138" s="9" t="inlineStr">
        <is>
          <t>New York, NY</t>
        </is>
      </c>
      <c r="J138" s="9" t="b">
        <v>1</v>
      </c>
      <c r="K138" s="9" t="b">
        <v>0</v>
      </c>
      <c r="L138" s="9" t="b">
        <v>1</v>
      </c>
      <c r="M138" s="9" t="b">
        <v>1</v>
      </c>
      <c r="N138" s="9" t="n">
        <v>5</v>
      </c>
      <c r="O138" s="9" t="n">
        <v>12</v>
      </c>
      <c r="P138" s="9" t="n">
        <v>4</v>
      </c>
      <c r="Q138" s="9" t="n">
        <v>16</v>
      </c>
      <c r="R138" s="9" t="inlineStr">
        <is>
          <t>https://hive.com</t>
        </is>
      </c>
      <c r="S138">
        <f>IF(M138,N138,"")</f>
        <v/>
      </c>
    </row>
    <row r="139">
      <c r="A139" s="9" t="n">
        <v>142</v>
      </c>
      <c r="B139" s="9" t="inlineStr">
        <is>
          <t>HostGator</t>
        </is>
      </c>
      <c r="C139" s="9" t="inlineStr">
        <is>
          <t>cloud-hosting</t>
        </is>
      </c>
      <c r="D139" s="9" t="inlineStr">
        <is>
          <t>Cloud Hosting</t>
        </is>
      </c>
      <c r="E139" s="9" t="n">
        <v>3.8</v>
      </c>
      <c r="F139" s="9" t="n">
        <v>3.5</v>
      </c>
      <c r="G139" s="9" t="n">
        <v>4.1</v>
      </c>
      <c r="H139" s="9" t="n">
        <v>2002</v>
      </c>
      <c r="I139" s="9" t="inlineStr">
        <is>
          <t>Houston, TX (Newfold Digital)</t>
        </is>
      </c>
      <c r="J139" s="9" t="b">
        <v>0</v>
      </c>
      <c r="K139" s="9" t="b">
        <v>0</v>
      </c>
      <c r="L139" s="9" t="b">
        <v>0</v>
      </c>
      <c r="M139" s="9" t="b">
        <v>1</v>
      </c>
      <c r="N139" s="9" t="n">
        <v>3.75</v>
      </c>
      <c r="O139" s="9" t="n">
        <v>6.25</v>
      </c>
      <c r="P139" s="9" t="n">
        <v>3</v>
      </c>
      <c r="Q139" s="9" t="n">
        <v>11</v>
      </c>
      <c r="R139" s="9" t="inlineStr">
        <is>
          <t>https://www.hostgator.com</t>
        </is>
      </c>
      <c r="S139">
        <f>IF(M139,N139,"")</f>
        <v/>
      </c>
    </row>
    <row r="140">
      <c r="A140" s="9" t="n">
        <v>74</v>
      </c>
      <c r="B140" s="9" t="inlineStr">
        <is>
          <t>Hostinger</t>
        </is>
      </c>
      <c r="C140" s="9" t="inlineStr">
        <is>
          <t>cloud-hosting</t>
        </is>
      </c>
      <c r="D140" s="9" t="inlineStr">
        <is>
          <t>Cloud Hosting</t>
        </is>
      </c>
      <c r="E140" s="9" t="n">
        <v>4.55</v>
      </c>
      <c r="F140" s="9" t="n">
        <v>4.5</v>
      </c>
      <c r="G140" s="9" t="n">
        <v>4.6</v>
      </c>
      <c r="H140" s="9" t="n">
        <v>2004</v>
      </c>
      <c r="I140" s="9" t="inlineStr">
        <is>
          <t>Kaunas, Lithuania</t>
        </is>
      </c>
      <c r="J140" s="9" t="b">
        <v>0</v>
      </c>
      <c r="K140" s="9" t="b">
        <v>0</v>
      </c>
      <c r="L140" s="9" t="b">
        <v>0</v>
      </c>
      <c r="M140" s="9" t="b">
        <v>1</v>
      </c>
      <c r="N140" s="9" t="n">
        <v>2.99</v>
      </c>
      <c r="O140" s="9" t="n">
        <v>9.99</v>
      </c>
      <c r="P140" s="9" t="n">
        <v>3</v>
      </c>
      <c r="Q140" s="9" t="n">
        <v>5</v>
      </c>
      <c r="R140" s="9" t="inlineStr">
        <is>
          <t>https://www.hostinger.com</t>
        </is>
      </c>
      <c r="S140">
        <f>IF(M140,N140,"")</f>
        <v/>
      </c>
    </row>
    <row r="141">
      <c r="A141" s="9" t="n">
        <v>22</v>
      </c>
      <c r="B141" s="9" t="inlineStr">
        <is>
          <t>HubSpot</t>
        </is>
      </c>
      <c r="C141" s="9" t="inlineStr">
        <is>
          <t>crm</t>
        </is>
      </c>
      <c r="D141" s="9" t="inlineStr">
        <is>
          <t>CRM</t>
        </is>
      </c>
      <c r="E141" s="9" t="n">
        <v>4.45</v>
      </c>
      <c r="F141" s="9" t="n">
        <v>4.4</v>
      </c>
      <c r="G141" s="9" t="n">
        <v>4.5</v>
      </c>
      <c r="H141" s="9" t="n">
        <v>2006</v>
      </c>
      <c r="I141" s="9" t="inlineStr">
        <is>
          <t>Cambridge, MA</t>
        </is>
      </c>
      <c r="J141" s="9" t="b">
        <v>1</v>
      </c>
      <c r="K141" s="9" t="b">
        <v>0</v>
      </c>
      <c r="L141" s="9" t="b">
        <v>0</v>
      </c>
      <c r="M141" s="9" t="b">
        <v>1</v>
      </c>
      <c r="N141" s="9" t="n">
        <v>20</v>
      </c>
      <c r="O141" s="9" t="n">
        <v>3600</v>
      </c>
      <c r="P141" s="9" t="n">
        <v>4</v>
      </c>
      <c r="Q141" s="9" t="n">
        <v>17</v>
      </c>
      <c r="R141" s="9" t="inlineStr">
        <is>
          <t>https://www.hubspot.com</t>
        </is>
      </c>
      <c r="S141">
        <f>IF(M141,N141,"")</f>
        <v/>
      </c>
    </row>
    <row r="142">
      <c r="A142" s="9" t="n">
        <v>143</v>
      </c>
      <c r="B142" s="9" t="inlineStr">
        <is>
          <t>HubSpot CMS</t>
        </is>
      </c>
      <c r="C142" s="9" t="inlineStr">
        <is>
          <t>website-builders</t>
        </is>
      </c>
      <c r="D142" s="9" t="inlineStr">
        <is>
          <t>Website Builders</t>
        </is>
      </c>
      <c r="E142" s="9" t="n">
        <v>4.5</v>
      </c>
      <c r="F142" s="9" t="n">
        <v>4.5</v>
      </c>
      <c r="G142" s="9" t="n">
        <v>4.5</v>
      </c>
      <c r="H142" s="9" t="n">
        <v>2006</v>
      </c>
      <c r="I142" s="9" t="inlineStr">
        <is>
          <t>Cambridge, MA (HubSpot)</t>
        </is>
      </c>
      <c r="J142" s="9" t="b">
        <v>1</v>
      </c>
      <c r="K142" s="9" t="b">
        <v>0</v>
      </c>
      <c r="L142" s="9" t="b">
        <v>0</v>
      </c>
      <c r="M142" s="9" t="b">
        <v>1</v>
      </c>
      <c r="N142" s="9" t="n">
        <v>20</v>
      </c>
      <c r="O142" s="9" t="n">
        <v>1500</v>
      </c>
      <c r="P142" s="9" t="n">
        <v>4</v>
      </c>
      <c r="Q142" s="9" t="n">
        <v>16</v>
      </c>
      <c r="R142" s="9" t="inlineStr">
        <is>
          <t>https://www.hubspot.com/products/cms</t>
        </is>
      </c>
      <c r="S142">
        <f>IF(M142,N142,"")</f>
        <v/>
      </c>
    </row>
    <row r="143">
      <c r="A143" s="9" t="n">
        <v>186</v>
      </c>
      <c r="B143" s="9" t="inlineStr">
        <is>
          <t>Hugging Face</t>
        </is>
      </c>
      <c r="C143" s="9" t="inlineStr">
        <is>
          <t>llm</t>
        </is>
      </c>
      <c r="D143" s="9" t="inlineStr">
        <is>
          <t>Large Language Models</t>
        </is>
      </c>
      <c r="E143" s="9" t="n">
        <v>4.55</v>
      </c>
      <c r="F143" s="9" t="n">
        <v>4.6</v>
      </c>
      <c r="G143" s="9" t="n">
        <v>4.5</v>
      </c>
      <c r="H143" s="9" t="n">
        <v>2016</v>
      </c>
      <c r="I143" s="9" t="n">
        <v/>
      </c>
      <c r="J143" s="9" t="b">
        <v>1</v>
      </c>
      <c r="K143" s="9" t="b">
        <v>0</v>
      </c>
      <c r="L143" s="9" t="b">
        <v>0</v>
      </c>
      <c r="M143" s="9" t="b">
        <v>1</v>
      </c>
      <c r="N143" s="9" t="n">
        <v>9</v>
      </c>
      <c r="O143" s="9" t="n">
        <v>20</v>
      </c>
      <c r="P143" s="9" t="n">
        <v>3</v>
      </c>
      <c r="Q143" s="9" t="n">
        <v>11</v>
      </c>
      <c r="R143" s="9" t="inlineStr">
        <is>
          <t>https://huggingface.co</t>
        </is>
      </c>
      <c r="S143">
        <f>IF(M143,N143,"")</f>
        <v/>
      </c>
    </row>
    <row r="144">
      <c r="A144" s="9" t="n">
        <v>120</v>
      </c>
      <c r="B144" s="9" t="inlineStr">
        <is>
          <t>Hurdlr</t>
        </is>
      </c>
      <c r="C144" s="9" t="inlineStr">
        <is>
          <t>accounting</t>
        </is>
      </c>
      <c r="D144" s="9" t="inlineStr">
        <is>
          <t>Accounting</t>
        </is>
      </c>
      <c r="E144" s="9" t="n">
        <v>4.2</v>
      </c>
      <c r="F144" s="9" t="n">
        <v>4.1</v>
      </c>
      <c r="G144" s="9" t="n">
        <v>4.3</v>
      </c>
      <c r="H144" s="9" t="n">
        <v>2015</v>
      </c>
      <c r="I144" s="9" t="inlineStr">
        <is>
          <t>Silver Spring, MD</t>
        </is>
      </c>
      <c r="J144" s="9" t="b">
        <v>1</v>
      </c>
      <c r="K144" s="9" t="b">
        <v>0</v>
      </c>
      <c r="L144" s="9" t="b">
        <v>0</v>
      </c>
      <c r="M144" s="9" t="b">
        <v>1</v>
      </c>
      <c r="N144" s="9" t="n">
        <v>10</v>
      </c>
      <c r="O144" s="9" t="n">
        <v>16.67</v>
      </c>
      <c r="P144" s="9" t="n">
        <v>3</v>
      </c>
      <c r="Q144" s="9" t="n">
        <v>4</v>
      </c>
      <c r="R144" s="9" t="inlineStr">
        <is>
          <t>https://www.hurdlr.com</t>
        </is>
      </c>
      <c r="S144">
        <f>IF(M144,N144,"")</f>
        <v/>
      </c>
    </row>
    <row r="145">
      <c r="A145" s="9" t="n">
        <v>198</v>
      </c>
      <c r="B145" s="9" t="inlineStr">
        <is>
          <t>Ideogram</t>
        </is>
      </c>
      <c r="C145" s="9" t="inlineStr">
        <is>
          <t>ai-image</t>
        </is>
      </c>
      <c r="D145" s="9" t="inlineStr">
        <is>
          <t>AI Image Generators</t>
        </is>
      </c>
      <c r="E145" s="9" t="n">
        <v>4.45</v>
      </c>
      <c r="F145" s="9" t="n">
        <v>4.5</v>
      </c>
      <c r="G145" s="9" t="n">
        <v>4.4</v>
      </c>
      <c r="H145" s="9" t="n">
        <v>2023</v>
      </c>
      <c r="I145" s="9" t="n">
        <v/>
      </c>
      <c r="J145" s="9" t="b">
        <v>1</v>
      </c>
      <c r="K145" s="9" t="b">
        <v>0</v>
      </c>
      <c r="L145" s="9" t="b">
        <v>0</v>
      </c>
      <c r="M145" s="9" t="b">
        <v>1</v>
      </c>
      <c r="N145" s="9" t="n">
        <v>8</v>
      </c>
      <c r="O145" s="9" t="n">
        <v>20</v>
      </c>
      <c r="P145" s="9" t="n">
        <v>3</v>
      </c>
      <c r="Q145" s="9" t="n">
        <v>6</v>
      </c>
      <c r="R145" s="9" t="inlineStr">
        <is>
          <t>https://ideogram.ai</t>
        </is>
      </c>
      <c r="S145">
        <f>IF(M145,N145,"")</f>
        <v/>
      </c>
    </row>
    <row r="146">
      <c r="A146" s="9" t="n">
        <v>232</v>
      </c>
      <c r="B146" s="9" t="inlineStr">
        <is>
          <t>InVideo AI</t>
        </is>
      </c>
      <c r="C146" s="9" t="inlineStr">
        <is>
          <t>ai-video</t>
        </is>
      </c>
      <c r="D146" s="9" t="inlineStr">
        <is>
          <t>AI Video</t>
        </is>
      </c>
      <c r="E146" s="9" t="n">
        <v>4.55</v>
      </c>
      <c r="F146" s="9" t="n">
        <v>4.5</v>
      </c>
      <c r="G146" s="9" t="n">
        <v>4.6</v>
      </c>
      <c r="H146" s="9" t="n">
        <v>2017</v>
      </c>
      <c r="I146" s="9" t="n">
        <v/>
      </c>
      <c r="J146" s="9" t="b">
        <v>1</v>
      </c>
      <c r="K146" s="9" t="b">
        <v>0</v>
      </c>
      <c r="L146" s="9" t="b">
        <v>0</v>
      </c>
      <c r="M146" s="9" t="b">
        <v>1</v>
      </c>
      <c r="N146" s="9" t="n">
        <v>20</v>
      </c>
      <c r="O146" s="9" t="n">
        <v>48</v>
      </c>
      <c r="P146" s="9" t="n">
        <v>3</v>
      </c>
      <c r="Q146" s="9" t="n">
        <v>11</v>
      </c>
      <c r="R146" s="9" t="inlineStr">
        <is>
          <t>https://invideo.io</t>
        </is>
      </c>
      <c r="S146">
        <f>IF(M146,N146,"")</f>
        <v/>
      </c>
    </row>
    <row r="147">
      <c r="A147" s="9" t="n">
        <v>95</v>
      </c>
      <c r="B147" s="9" t="inlineStr">
        <is>
          <t>InVision</t>
        </is>
      </c>
      <c r="C147" s="9" t="inlineStr">
        <is>
          <t>design-tools</t>
        </is>
      </c>
      <c r="D147" s="9" t="inlineStr">
        <is>
          <t>Design Tools</t>
        </is>
      </c>
      <c r="E147" s="9" t="n">
        <v>4.45</v>
      </c>
      <c r="F147" s="9" t="n">
        <v>4.4</v>
      </c>
      <c r="G147" s="9" t="n">
        <v>4.5</v>
      </c>
      <c r="H147" s="9" t="n">
        <v>2011</v>
      </c>
      <c r="I147" s="9" t="inlineStr">
        <is>
          <t>New York, NY</t>
        </is>
      </c>
      <c r="J147" s="9" t="b">
        <v>1</v>
      </c>
      <c r="K147" s="9" t="b">
        <v>0</v>
      </c>
      <c r="L147" s="9" t="b">
        <v>0</v>
      </c>
      <c r="M147" s="9" t="b">
        <v>1</v>
      </c>
      <c r="N147" s="9" t="n">
        <v/>
      </c>
      <c r="O147" s="9" t="n">
        <v>0</v>
      </c>
      <c r="P147" s="9" t="n">
        <v>1</v>
      </c>
      <c r="Q147" s="9" t="n">
        <v>5</v>
      </c>
      <c r="R147" s="9" t="inlineStr">
        <is>
          <t>https://www.invisionapp.com</t>
        </is>
      </c>
      <c r="S147">
        <f>IF(M147,N147,"")</f>
        <v/>
      </c>
    </row>
    <row r="148">
      <c r="A148" s="9" t="n">
        <v>28</v>
      </c>
      <c r="B148" s="9" t="inlineStr">
        <is>
          <t>Insightly</t>
        </is>
      </c>
      <c r="C148" s="9" t="inlineStr">
        <is>
          <t>crm</t>
        </is>
      </c>
      <c r="D148" s="9" t="inlineStr">
        <is>
          <t>CRM</t>
        </is>
      </c>
      <c r="E148" s="9" t="n">
        <v>4.1</v>
      </c>
      <c r="F148" s="9" t="n">
        <v>4.2</v>
      </c>
      <c r="G148" s="9" t="n">
        <v>4</v>
      </c>
      <c r="H148" s="9" t="n">
        <v>2009</v>
      </c>
      <c r="I148" s="9" t="inlineStr">
        <is>
          <t>San Francisco, CA</t>
        </is>
      </c>
      <c r="J148" s="9" t="b">
        <v>1</v>
      </c>
      <c r="K148" s="9" t="b">
        <v>0</v>
      </c>
      <c r="L148" s="9" t="b">
        <v>0</v>
      </c>
      <c r="M148" s="9" t="b">
        <v>1</v>
      </c>
      <c r="N148" s="9" t="n">
        <v>29</v>
      </c>
      <c r="O148" s="9" t="n">
        <v>99</v>
      </c>
      <c r="P148" s="9" t="n">
        <v>4</v>
      </c>
      <c r="Q148" s="9" t="n">
        <v>11</v>
      </c>
      <c r="R148" s="9" t="inlineStr">
        <is>
          <t>https://www.insightly.com</t>
        </is>
      </c>
      <c r="S148">
        <f>IF(M148,N148,"")</f>
        <v/>
      </c>
    </row>
    <row r="149">
      <c r="A149" s="9" t="n">
        <v>255</v>
      </c>
      <c r="B149" s="9" t="inlineStr">
        <is>
          <t>Intercom Fin</t>
        </is>
      </c>
      <c r="C149" s="9" t="inlineStr">
        <is>
          <t>ai-assistants</t>
        </is>
      </c>
      <c r="D149" s="9" t="inlineStr">
        <is>
          <t>AI Assistants</t>
        </is>
      </c>
      <c r="E149" s="9" t="n">
        <v>4.45</v>
      </c>
      <c r="F149" s="9" t="n">
        <v>4.5</v>
      </c>
      <c r="G149" s="9" t="n">
        <v>4.4</v>
      </c>
      <c r="H149" s="9" t="n">
        <v>2023</v>
      </c>
      <c r="I149" s="9" t="n">
        <v/>
      </c>
      <c r="J149" s="9" t="b">
        <v>0</v>
      </c>
      <c r="K149" s="9" t="b">
        <v>0</v>
      </c>
      <c r="L149" s="9" t="b">
        <v>0</v>
      </c>
      <c r="M149" s="9" t="b">
        <v>1</v>
      </c>
      <c r="N149" s="9" t="n">
        <v>39</v>
      </c>
      <c r="O149" s="9" t="n">
        <v>99</v>
      </c>
      <c r="P149" s="9" t="n">
        <v>2</v>
      </c>
      <c r="Q149" s="9" t="n">
        <v>9</v>
      </c>
      <c r="R149" s="9" t="inlineStr">
        <is>
          <t>https://intercom.com/fin</t>
        </is>
      </c>
      <c r="S149">
        <f>IF(M149,N149,"")</f>
        <v/>
      </c>
    </row>
    <row r="150">
      <c r="A150" s="9" t="n">
        <v>280</v>
      </c>
      <c r="B150" s="9" t="inlineStr">
        <is>
          <t>IntoTheBlock</t>
        </is>
      </c>
      <c r="C150" s="9" t="inlineStr">
        <is>
          <t>crypto-analytics</t>
        </is>
      </c>
      <c r="D150" s="9" t="inlineStr">
        <is>
          <t>Crypto Analytics</t>
        </is>
      </c>
      <c r="E150" s="9" t="n">
        <v>4</v>
      </c>
      <c r="F150" s="9" t="n">
        <v>4</v>
      </c>
      <c r="G150" s="9" t="n">
        <v/>
      </c>
      <c r="H150" s="9" t="n">
        <v>2018</v>
      </c>
      <c r="I150" s="9" t="inlineStr">
        <is>
          <t>Miami, USA</t>
        </is>
      </c>
      <c r="J150" s="9" t="b">
        <v>1</v>
      </c>
      <c r="K150" s="9" t="b">
        <v>0</v>
      </c>
      <c r="L150" s="9" t="b">
        <v>1</v>
      </c>
      <c r="M150" s="9" t="b">
        <v>1</v>
      </c>
      <c r="N150" s="9" t="n">
        <v>100</v>
      </c>
      <c r="O150" s="9" t="n">
        <v>100</v>
      </c>
      <c r="P150" s="9" t="n">
        <v>3</v>
      </c>
      <c r="Q150" s="9" t="n">
        <v>6</v>
      </c>
      <c r="R150" s="9" t="inlineStr">
        <is>
          <t>https://www.intotheblock.com</t>
        </is>
      </c>
      <c r="S150">
        <f>IF(M150,N150,"")</f>
        <v/>
      </c>
    </row>
    <row r="151">
      <c r="A151" s="9" t="n">
        <v>154</v>
      </c>
      <c r="B151" s="9" t="inlineStr">
        <is>
          <t>Jasper</t>
        </is>
      </c>
      <c r="C151" s="9" t="inlineStr">
        <is>
          <t>ai-writing</t>
        </is>
      </c>
      <c r="D151" s="9" t="inlineStr">
        <is>
          <t>AI Writing</t>
        </is>
      </c>
      <c r="E151" s="9" t="n">
        <v>4.75</v>
      </c>
      <c r="F151" s="9" t="n">
        <v>4.7</v>
      </c>
      <c r="G151" s="9" t="n">
        <v>4.8</v>
      </c>
      <c r="H151" s="9" t="n">
        <v>2021</v>
      </c>
      <c r="I151" s="9" t="n">
        <v/>
      </c>
      <c r="J151" s="9" t="b">
        <v>0</v>
      </c>
      <c r="K151" s="9" t="b">
        <v>0</v>
      </c>
      <c r="L151" s="9" t="b">
        <v>1</v>
      </c>
      <c r="M151" s="9" t="b">
        <v>1</v>
      </c>
      <c r="N151" s="9" t="n">
        <v>39</v>
      </c>
      <c r="O151" s="9" t="n">
        <v>59</v>
      </c>
      <c r="P151" s="9" t="n">
        <v>3</v>
      </c>
      <c r="Q151" s="9" t="n">
        <v>11</v>
      </c>
      <c r="R151" s="9" t="inlineStr">
        <is>
          <t>https://www.jasper.ai</t>
        </is>
      </c>
      <c r="S151">
        <f>IF(M151,N151,"")</f>
        <v/>
      </c>
    </row>
    <row r="152">
      <c r="A152" s="9" t="n">
        <v>6</v>
      </c>
      <c r="B152" s="9" t="inlineStr">
        <is>
          <t>Jira</t>
        </is>
      </c>
      <c r="C152" s="9" t="inlineStr">
        <is>
          <t>project-management</t>
        </is>
      </c>
      <c r="D152" s="9" t="inlineStr">
        <is>
          <t>Project Management</t>
        </is>
      </c>
      <c r="E152" s="9" t="n">
        <v>4.4</v>
      </c>
      <c r="F152" s="9" t="n">
        <v>4.3</v>
      </c>
      <c r="G152" s="9" t="n">
        <v>4.5</v>
      </c>
      <c r="H152" s="9" t="n">
        <v>2002</v>
      </c>
      <c r="I152" s="9" t="inlineStr">
        <is>
          <t>Sydney, Australia (Atlassian)</t>
        </is>
      </c>
      <c r="J152" s="9" t="b">
        <v>1</v>
      </c>
      <c r="K152" s="9" t="b">
        <v>0</v>
      </c>
      <c r="L152" s="9" t="b">
        <v>1</v>
      </c>
      <c r="M152" s="9" t="b">
        <v>1</v>
      </c>
      <c r="N152" s="9" t="n">
        <v>7.91</v>
      </c>
      <c r="O152" s="9" t="n">
        <v>14.54</v>
      </c>
      <c r="P152" s="9" t="n">
        <v>4</v>
      </c>
      <c r="Q152" s="9" t="n">
        <v>12</v>
      </c>
      <c r="R152" s="9" t="inlineStr">
        <is>
          <t>https://www.atlassian.com/software/jira</t>
        </is>
      </c>
      <c r="S152">
        <f>IF(M152,N152,"")</f>
        <v/>
      </c>
    </row>
    <row r="153">
      <c r="A153" s="9" t="n">
        <v>131</v>
      </c>
      <c r="B153" s="9" t="inlineStr">
        <is>
          <t>Jitsi Meet</t>
        </is>
      </c>
      <c r="C153" s="9" t="inlineStr">
        <is>
          <t>video-conferencing</t>
        </is>
      </c>
      <c r="D153" s="9" t="inlineStr">
        <is>
          <t>Video Conferencing</t>
        </is>
      </c>
      <c r="E153" s="9" t="n">
        <v>4.4</v>
      </c>
      <c r="F153" s="9" t="n">
        <v>4.3</v>
      </c>
      <c r="G153" s="9" t="n">
        <v>4.5</v>
      </c>
      <c r="H153" s="9" t="n">
        <v>2003</v>
      </c>
      <c r="I153" s="9" t="inlineStr">
        <is>
          <t>Open source (8x8 Inc, San Jose, CA)</t>
        </is>
      </c>
      <c r="J153" s="9" t="b">
        <v>1</v>
      </c>
      <c r="K153" s="9" t="b">
        <v>0</v>
      </c>
      <c r="L153" s="9" t="b">
        <v>1</v>
      </c>
      <c r="M153" s="9" t="b">
        <v>1</v>
      </c>
      <c r="N153" s="9" t="n">
        <v/>
      </c>
      <c r="O153" s="9" t="n">
        <v>0</v>
      </c>
      <c r="P153" s="9" t="n">
        <v>3</v>
      </c>
      <c r="Q153" s="9" t="n">
        <v>8</v>
      </c>
      <c r="R153" s="9" t="inlineStr">
        <is>
          <t>https://jitsi.org</t>
        </is>
      </c>
      <c r="S153">
        <f>IF(M153,N153,"")</f>
        <v/>
      </c>
    </row>
    <row r="154">
      <c r="A154" s="9" t="n">
        <v>293</v>
      </c>
      <c r="B154" s="9" t="inlineStr">
        <is>
          <t>Jupiter</t>
        </is>
      </c>
      <c r="C154" s="9" t="inlineStr">
        <is>
          <t>defi-tools</t>
        </is>
      </c>
      <c r="D154" s="9" t="inlineStr">
        <is>
          <t>DeFi Tools</t>
        </is>
      </c>
      <c r="E154" s="9" t="n">
        <v>4.6</v>
      </c>
      <c r="F154" s="9" t="n">
        <v>4.6</v>
      </c>
      <c r="G154" s="9" t="n">
        <v/>
      </c>
      <c r="H154" s="9" t="n">
        <v>2021</v>
      </c>
      <c r="I154" s="9" t="inlineStr">
        <is>
          <t>Unknown</t>
        </is>
      </c>
      <c r="J154" s="9" t="b">
        <v>1</v>
      </c>
      <c r="K154" s="9" t="b">
        <v>0</v>
      </c>
      <c r="L154" s="9" t="b">
        <v>0</v>
      </c>
      <c r="M154" s="9" t="b">
        <v>1</v>
      </c>
      <c r="N154" s="9" t="n">
        <v/>
      </c>
      <c r="O154" s="9" t="n">
        <v>0</v>
      </c>
      <c r="P154" s="9" t="n">
        <v>1</v>
      </c>
      <c r="Q154" s="9" t="n">
        <v>7</v>
      </c>
      <c r="R154" s="9" t="inlineStr">
        <is>
          <t>https://jup.ag</t>
        </is>
      </c>
      <c r="S154">
        <f>IF(M154,N154,"")</f>
        <v/>
      </c>
    </row>
    <row r="155">
      <c r="A155" s="9" t="n">
        <v>113</v>
      </c>
      <c r="B155" s="9" t="inlineStr">
        <is>
          <t>Kashoo</t>
        </is>
      </c>
      <c r="C155" s="9" t="inlineStr">
        <is>
          <t>accounting</t>
        </is>
      </c>
      <c r="D155" s="9" t="inlineStr">
        <is>
          <t>Accounting</t>
        </is>
      </c>
      <c r="E155" s="9" t="n">
        <v>4.2</v>
      </c>
      <c r="F155" s="9" t="n">
        <v>4.1</v>
      </c>
      <c r="G155" s="9" t="n">
        <v>4.3</v>
      </c>
      <c r="H155" s="9" t="n">
        <v>2008</v>
      </c>
      <c r="I155" s="9" t="inlineStr">
        <is>
          <t>Vancouver, Canada</t>
        </is>
      </c>
      <c r="J155" s="9" t="b">
        <v>0</v>
      </c>
      <c r="K155" s="9" t="b">
        <v>0</v>
      </c>
      <c r="L155" s="9" t="b">
        <v>0</v>
      </c>
      <c r="M155" s="9" t="b">
        <v>1</v>
      </c>
      <c r="N155" s="9" t="n">
        <v>30</v>
      </c>
      <c r="O155" s="9" t="n">
        <v>30</v>
      </c>
      <c r="P155" s="9" t="n">
        <v>1</v>
      </c>
      <c r="Q155" s="9" t="n">
        <v>9</v>
      </c>
      <c r="R155" s="9" t="inlineStr">
        <is>
          <t>https://www.kashoo.com</t>
        </is>
      </c>
      <c r="S155">
        <f>IF(M155,N155,"")</f>
        <v/>
      </c>
    </row>
    <row r="156">
      <c r="A156" s="9" t="n">
        <v>29</v>
      </c>
      <c r="B156" s="9" t="inlineStr">
        <is>
          <t>Keap</t>
        </is>
      </c>
      <c r="C156" s="9" t="inlineStr">
        <is>
          <t>crm</t>
        </is>
      </c>
      <c r="D156" s="9" t="inlineStr">
        <is>
          <t>CRM</t>
        </is>
      </c>
      <c r="E156" s="9" t="n">
        <v>4.15</v>
      </c>
      <c r="F156" s="9" t="n">
        <v>4.2</v>
      </c>
      <c r="G156" s="9" t="n">
        <v>4.1</v>
      </c>
      <c r="H156" s="9" t="n">
        <v>2001</v>
      </c>
      <c r="I156" s="9" t="inlineStr">
        <is>
          <t>Chandler, AZ</t>
        </is>
      </c>
      <c r="J156" s="9" t="b">
        <v>0</v>
      </c>
      <c r="K156" s="9" t="b">
        <v>0</v>
      </c>
      <c r="L156" s="9" t="b">
        <v>0</v>
      </c>
      <c r="M156" s="9" t="b">
        <v>1</v>
      </c>
      <c r="N156" s="9" t="n">
        <v>299</v>
      </c>
      <c r="O156" s="9" t="n">
        <v>599</v>
      </c>
      <c r="P156" s="9" t="n">
        <v>3</v>
      </c>
      <c r="Q156" s="9" t="n">
        <v>13</v>
      </c>
      <c r="R156" s="9" t="inlineStr">
        <is>
          <t>https://keap.com</t>
        </is>
      </c>
      <c r="S156">
        <f>IF(M156,N156,"")</f>
        <v/>
      </c>
    </row>
    <row r="157">
      <c r="A157" s="9" t="n">
        <v>331</v>
      </c>
      <c r="B157" s="9" t="inlineStr">
        <is>
          <t>Keystone</t>
        </is>
      </c>
      <c r="C157" s="9" t="inlineStr">
        <is>
          <t>crypto-wallets</t>
        </is>
      </c>
      <c r="D157" s="9" t="inlineStr">
        <is>
          <t>Crypto Wallets</t>
        </is>
      </c>
      <c r="E157" s="9" t="n">
        <v/>
      </c>
      <c r="F157" s="9" t="n">
        <v/>
      </c>
      <c r="G157" s="9" t="n">
        <v/>
      </c>
      <c r="H157" s="9" t="n">
        <v>2018</v>
      </c>
      <c r="I157" s="9" t="inlineStr">
        <is>
          <t>Shenzhen, China</t>
        </is>
      </c>
      <c r="J157" s="9" t="b">
        <v>0</v>
      </c>
      <c r="K157" s="9" t="b">
        <v>0</v>
      </c>
      <c r="L157" s="9" t="b">
        <v>0</v>
      </c>
      <c r="M157" s="9" t="b">
        <v>1</v>
      </c>
      <c r="N157" s="9" t="n">
        <v>99</v>
      </c>
      <c r="O157" s="9" t="n">
        <v>169</v>
      </c>
      <c r="P157" s="9" t="n">
        <v>2</v>
      </c>
      <c r="Q157" s="9" t="n">
        <v>8</v>
      </c>
      <c r="R157" s="9" t="inlineStr">
        <is>
          <t>https://keyst.one</t>
        </is>
      </c>
      <c r="S157">
        <f>IF(M157,N157,"")</f>
        <v/>
      </c>
    </row>
    <row r="158">
      <c r="A158" s="9" t="n">
        <v>76</v>
      </c>
      <c r="B158" s="9" t="inlineStr">
        <is>
          <t>Kinsta</t>
        </is>
      </c>
      <c r="C158" s="9" t="inlineStr">
        <is>
          <t>cloud-hosting</t>
        </is>
      </c>
      <c r="D158" s="9" t="inlineStr">
        <is>
          <t>Cloud Hosting</t>
        </is>
      </c>
      <c r="E158" s="9" t="n">
        <v>4.75</v>
      </c>
      <c r="F158" s="9" t="n">
        <v>4.8</v>
      </c>
      <c r="G158" s="9" t="n">
        <v>4.7</v>
      </c>
      <c r="H158" s="9" t="n">
        <v>2013</v>
      </c>
      <c r="I158" s="9" t="inlineStr">
        <is>
          <t>Los Angeles, CA</t>
        </is>
      </c>
      <c r="J158" s="9" t="b">
        <v>0</v>
      </c>
      <c r="K158" s="9" t="b">
        <v>0</v>
      </c>
      <c r="L158" s="9" t="b">
        <v>0</v>
      </c>
      <c r="M158" s="9" t="b">
        <v>1</v>
      </c>
      <c r="N158" s="9" t="n">
        <v>35</v>
      </c>
      <c r="O158" s="9" t="n">
        <v>675</v>
      </c>
      <c r="P158" s="9" t="n">
        <v>4</v>
      </c>
      <c r="Q158" s="9" t="n">
        <v>20</v>
      </c>
      <c r="R158" s="9" t="inlineStr">
        <is>
          <t>https://kinsta.com</t>
        </is>
      </c>
      <c r="S158">
        <f>IF(M158,N158,"")</f>
        <v/>
      </c>
    </row>
    <row r="159">
      <c r="A159" s="9" t="n">
        <v>38</v>
      </c>
      <c r="B159" s="9" t="inlineStr">
        <is>
          <t>Kit (ConvertKit)</t>
        </is>
      </c>
      <c r="C159" s="9" t="inlineStr">
        <is>
          <t>email-marketing</t>
        </is>
      </c>
      <c r="D159" s="9" t="inlineStr">
        <is>
          <t>Email Marketing</t>
        </is>
      </c>
      <c r="E159" s="9" t="n">
        <v>4.55</v>
      </c>
      <c r="F159" s="9" t="n">
        <v>4.4</v>
      </c>
      <c r="G159" s="9" t="n">
        <v>4.7</v>
      </c>
      <c r="H159" s="9" t="n">
        <v>2013</v>
      </c>
      <c r="I159" s="9" t="inlineStr">
        <is>
          <t>Boise, ID</t>
        </is>
      </c>
      <c r="J159" s="9" t="b">
        <v>1</v>
      </c>
      <c r="K159" s="9" t="b">
        <v>0</v>
      </c>
      <c r="L159" s="9" t="b">
        <v>0</v>
      </c>
      <c r="M159" s="9" t="b">
        <v>1</v>
      </c>
      <c r="N159" s="9" t="n">
        <v>33</v>
      </c>
      <c r="O159" s="9" t="n">
        <v>66</v>
      </c>
      <c r="P159" s="9" t="n">
        <v>3</v>
      </c>
      <c r="Q159" s="9" t="n">
        <v>14</v>
      </c>
      <c r="R159" s="9" t="inlineStr">
        <is>
          <t>https://kit.com</t>
        </is>
      </c>
      <c r="S159">
        <f>IF(M159,N159,"")</f>
        <v/>
      </c>
    </row>
    <row r="160">
      <c r="A160" s="9" t="n">
        <v>41</v>
      </c>
      <c r="B160" s="9" t="inlineStr">
        <is>
          <t>Klaviyo</t>
        </is>
      </c>
      <c r="C160" s="9" t="inlineStr">
        <is>
          <t>email-marketing</t>
        </is>
      </c>
      <c r="D160" s="9" t="inlineStr">
        <is>
          <t>Email Marketing</t>
        </is>
      </c>
      <c r="E160" s="9" t="n">
        <v>4.65</v>
      </c>
      <c r="F160" s="9" t="n">
        <v>4.6</v>
      </c>
      <c r="G160" s="9" t="n">
        <v>4.7</v>
      </c>
      <c r="H160" s="9" t="n">
        <v>2012</v>
      </c>
      <c r="I160" s="9" t="inlineStr">
        <is>
          <t>Boston, MA</t>
        </is>
      </c>
      <c r="J160" s="9" t="b">
        <v>1</v>
      </c>
      <c r="K160" s="9" t="b">
        <v>0</v>
      </c>
      <c r="L160" s="9" t="b">
        <v>0</v>
      </c>
      <c r="M160" s="9" t="b">
        <v>1</v>
      </c>
      <c r="N160" s="9" t="n">
        <v>20</v>
      </c>
      <c r="O160" s="9" t="n">
        <v>35</v>
      </c>
      <c r="P160" s="9" t="n">
        <v>3</v>
      </c>
      <c r="Q160" s="9" t="n">
        <v>14</v>
      </c>
      <c r="R160" s="9" t="inlineStr">
        <is>
          <t>https://www.klaviyo.com</t>
        </is>
      </c>
      <c r="S160">
        <f>IF(M160,N160,"")</f>
        <v/>
      </c>
    </row>
    <row r="161">
      <c r="A161" s="9" t="n">
        <v>199</v>
      </c>
      <c r="B161" s="9" t="inlineStr">
        <is>
          <t>Kling AI</t>
        </is>
      </c>
      <c r="C161" s="9" t="inlineStr">
        <is>
          <t>ai-image</t>
        </is>
      </c>
      <c r="D161" s="9" t="inlineStr">
        <is>
          <t>AI Image Generators</t>
        </is>
      </c>
      <c r="E161" s="9" t="n">
        <v>4.55</v>
      </c>
      <c r="F161" s="9" t="n">
        <v>4.6</v>
      </c>
      <c r="G161" s="9" t="n">
        <v>4.5</v>
      </c>
      <c r="H161" s="9" t="n">
        <v>2023</v>
      </c>
      <c r="I161" s="9" t="n">
        <v/>
      </c>
      <c r="J161" s="9" t="b">
        <v>1</v>
      </c>
      <c r="K161" s="9" t="b">
        <v>0</v>
      </c>
      <c r="L161" s="9" t="b">
        <v>0</v>
      </c>
      <c r="M161" s="9" t="b">
        <v>1</v>
      </c>
      <c r="N161" s="9" t="n">
        <v>10</v>
      </c>
      <c r="O161" s="9" t="n">
        <v>35</v>
      </c>
      <c r="P161" s="9" t="n">
        <v>3</v>
      </c>
      <c r="Q161" s="9" t="n">
        <v>5</v>
      </c>
      <c r="R161" s="9" t="inlineStr">
        <is>
          <t>https://kling.ai</t>
        </is>
      </c>
      <c r="S161">
        <f>IF(M161,N161,"")</f>
        <v/>
      </c>
    </row>
    <row r="162">
      <c r="A162" s="9" t="n">
        <v>281</v>
      </c>
      <c r="B162" s="9" t="inlineStr">
        <is>
          <t>Koinly</t>
        </is>
      </c>
      <c r="C162" s="9" t="inlineStr">
        <is>
          <t>crypto-tax</t>
        </is>
      </c>
      <c r="D162" s="9" t="inlineStr">
        <is>
          <t>Crypto Tax</t>
        </is>
      </c>
      <c r="E162" s="9" t="n">
        <v>4.35</v>
      </c>
      <c r="F162" s="9" t="n">
        <v>4.3</v>
      </c>
      <c r="G162" s="9" t="n">
        <v>4.4</v>
      </c>
      <c r="H162" s="9" t="n">
        <v>2018</v>
      </c>
      <c r="I162" s="9" t="inlineStr">
        <is>
          <t>London, UK</t>
        </is>
      </c>
      <c r="J162" s="9" t="b">
        <v>1</v>
      </c>
      <c r="K162" s="9" t="b">
        <v>0</v>
      </c>
      <c r="L162" s="9" t="b">
        <v>0</v>
      </c>
      <c r="M162" s="9" t="b">
        <v>1</v>
      </c>
      <c r="N162" s="9" t="n">
        <v>49</v>
      </c>
      <c r="O162" s="9" t="n">
        <v>199</v>
      </c>
      <c r="P162" s="9" t="n">
        <v>4</v>
      </c>
      <c r="Q162" s="9" t="n">
        <v>9</v>
      </c>
      <c r="R162" s="9" t="inlineStr">
        <is>
          <t>https://koinly.io</t>
        </is>
      </c>
      <c r="S162">
        <f>IF(M162,N162,"")</f>
        <v/>
      </c>
    </row>
    <row r="163">
      <c r="A163" s="9" t="n">
        <v>299</v>
      </c>
      <c r="B163" s="9" t="inlineStr">
        <is>
          <t>Kraken</t>
        </is>
      </c>
      <c r="C163" s="9" t="inlineStr">
        <is>
          <t>crypto-exchanges</t>
        </is>
      </c>
      <c r="D163" s="9" t="inlineStr">
        <is>
          <t>Crypto Exchanges</t>
        </is>
      </c>
      <c r="E163" s="9" t="n">
        <v>4.25</v>
      </c>
      <c r="F163" s="9" t="n">
        <v>4.3</v>
      </c>
      <c r="G163" s="9" t="n">
        <v>4.2</v>
      </c>
      <c r="H163" s="9" t="n">
        <v>2011</v>
      </c>
      <c r="I163" s="9" t="inlineStr">
        <is>
          <t>San Francisco, USA</t>
        </is>
      </c>
      <c r="J163" s="9" t="b">
        <v>1</v>
      </c>
      <c r="K163" s="9" t="b">
        <v>0</v>
      </c>
      <c r="L163" s="9" t="b">
        <v>0</v>
      </c>
      <c r="M163" s="9" t="b">
        <v>1</v>
      </c>
      <c r="N163" s="9" t="n">
        <v/>
      </c>
      <c r="O163" s="9" t="n">
        <v>0</v>
      </c>
      <c r="P163" s="9" t="n">
        <v>3</v>
      </c>
      <c r="Q163" s="9" t="n">
        <v>11</v>
      </c>
      <c r="R163" s="9" t="inlineStr">
        <is>
          <t>https://www.kraken.com</t>
        </is>
      </c>
      <c r="S163">
        <f>IF(M163,N163,"")</f>
        <v/>
      </c>
    </row>
    <row r="164">
      <c r="A164" s="9" t="n">
        <v>302</v>
      </c>
      <c r="B164" s="9" t="inlineStr">
        <is>
          <t>KuCoin</t>
        </is>
      </c>
      <c r="C164" s="9" t="inlineStr">
        <is>
          <t>crypto-exchanges</t>
        </is>
      </c>
      <c r="D164" s="9" t="inlineStr">
        <is>
          <t>Crypto Exchanges</t>
        </is>
      </c>
      <c r="E164" s="9" t="n">
        <v>4</v>
      </c>
      <c r="F164" s="9" t="n">
        <v>4</v>
      </c>
      <c r="G164" s="9" t="n">
        <v/>
      </c>
      <c r="H164" s="9" t="n">
        <v>2017</v>
      </c>
      <c r="I164" s="9" t="inlineStr">
        <is>
          <t>Seychelles</t>
        </is>
      </c>
      <c r="J164" s="9" t="b">
        <v>1</v>
      </c>
      <c r="K164" s="9" t="b">
        <v>0</v>
      </c>
      <c r="L164" s="9" t="b">
        <v>1</v>
      </c>
      <c r="M164" s="9" t="b">
        <v>1</v>
      </c>
      <c r="N164" s="9" t="n">
        <v/>
      </c>
      <c r="O164" s="9" t="n">
        <v>0</v>
      </c>
      <c r="P164" s="9" t="n">
        <v>3</v>
      </c>
      <c r="Q164" s="9" t="n">
        <v>9</v>
      </c>
      <c r="R164" s="9" t="inlineStr">
        <is>
          <t>https://www.kucoin.com</t>
        </is>
      </c>
      <c r="S164">
        <f>IF(M164,N164,"")</f>
        <v/>
      </c>
    </row>
    <row r="165">
      <c r="A165" s="9" t="n">
        <v>159</v>
      </c>
      <c r="B165" s="9" t="inlineStr">
        <is>
          <t>LastPass</t>
        </is>
      </c>
      <c r="C165" s="9" t="inlineStr">
        <is>
          <t>password-managers</t>
        </is>
      </c>
      <c r="D165" s="9" t="inlineStr">
        <is>
          <t>Password Managers</t>
        </is>
      </c>
      <c r="E165" s="9" t="n">
        <v>4.5</v>
      </c>
      <c r="F165" s="9" t="n">
        <v>4.4</v>
      </c>
      <c r="G165" s="9" t="n">
        <v>4.6</v>
      </c>
      <c r="H165" s="9" t="n">
        <v>2008</v>
      </c>
      <c r="I165" s="9" t="n">
        <v/>
      </c>
      <c r="J165" s="9" t="b">
        <v>1</v>
      </c>
      <c r="K165" s="9" t="b">
        <v>0</v>
      </c>
      <c r="L165" s="9" t="b">
        <v>0</v>
      </c>
      <c r="M165" s="9" t="b">
        <v>1</v>
      </c>
      <c r="N165" s="9" t="n">
        <v>3</v>
      </c>
      <c r="O165" s="9" t="n">
        <v>4</v>
      </c>
      <c r="P165" s="9" t="n">
        <v>3</v>
      </c>
      <c r="Q165" s="9" t="n">
        <v>14</v>
      </c>
      <c r="R165" s="9" t="inlineStr">
        <is>
          <t>https://www.lastpass.com</t>
        </is>
      </c>
      <c r="S165">
        <f>IF(M165,N165,"")</f>
        <v/>
      </c>
    </row>
    <row r="166">
      <c r="A166" s="9" t="n">
        <v>316</v>
      </c>
      <c r="B166" s="9" t="inlineStr">
        <is>
          <t>Ledger</t>
        </is>
      </c>
      <c r="C166" s="9" t="inlineStr">
        <is>
          <t>crypto-wallets</t>
        </is>
      </c>
      <c r="D166" s="9" t="inlineStr">
        <is>
          <t>Crypto Wallets</t>
        </is>
      </c>
      <c r="E166" s="9" t="n">
        <v>4.35</v>
      </c>
      <c r="F166" s="9" t="n">
        <v>4.4</v>
      </c>
      <c r="G166" s="9" t="n">
        <v>4.3</v>
      </c>
      <c r="H166" s="9" t="n">
        <v>2014</v>
      </c>
      <c r="I166" s="9" t="inlineStr">
        <is>
          <t>Paris, France</t>
        </is>
      </c>
      <c r="J166" s="9" t="b">
        <v>0</v>
      </c>
      <c r="K166" s="9" t="b">
        <v>0</v>
      </c>
      <c r="L166" s="9" t="b">
        <v>0</v>
      </c>
      <c r="M166" s="9" t="b">
        <v>1</v>
      </c>
      <c r="N166" s="9" t="n">
        <v>79</v>
      </c>
      <c r="O166" s="9" t="n">
        <v>399</v>
      </c>
      <c r="P166" s="9" t="n">
        <v>3</v>
      </c>
      <c r="Q166" s="9" t="n">
        <v>13</v>
      </c>
      <c r="R166" s="9" t="inlineStr">
        <is>
          <t>https://www.ledger.com</t>
        </is>
      </c>
      <c r="S166">
        <f>IF(M166,N166,"")</f>
        <v/>
      </c>
    </row>
    <row r="167">
      <c r="A167" s="9" t="n">
        <v>171</v>
      </c>
      <c r="B167" s="9" t="inlineStr">
        <is>
          <t>Leonardo AI</t>
        </is>
      </c>
      <c r="C167" s="9" t="inlineStr">
        <is>
          <t>ai-image</t>
        </is>
      </c>
      <c r="D167" s="9" t="inlineStr">
        <is>
          <t>AI Image Generators</t>
        </is>
      </c>
      <c r="E167" s="9" t="n">
        <v>4.55</v>
      </c>
      <c r="F167" s="9" t="n">
        <v>4.5</v>
      </c>
      <c r="G167" s="9" t="n">
        <v>4.6</v>
      </c>
      <c r="H167" s="9" t="n">
        <v>2022</v>
      </c>
      <c r="I167" s="9" t="n">
        <v/>
      </c>
      <c r="J167" s="9" t="b">
        <v>1</v>
      </c>
      <c r="K167" s="9" t="b">
        <v>0</v>
      </c>
      <c r="L167" s="9" t="b">
        <v>0</v>
      </c>
      <c r="M167" s="9" t="b">
        <v>1</v>
      </c>
      <c r="N167" s="9" t="n">
        <v>12</v>
      </c>
      <c r="O167" s="9" t="n">
        <v>30</v>
      </c>
      <c r="P167" s="9" t="n">
        <v>3</v>
      </c>
      <c r="Q167" s="9" t="n">
        <v>7</v>
      </c>
      <c r="R167" s="9" t="inlineStr">
        <is>
          <t>https://leonardo.ai</t>
        </is>
      </c>
      <c r="S167">
        <f>IF(M167,N167,"")</f>
        <v/>
      </c>
    </row>
    <row r="168">
      <c r="A168" s="9" t="n">
        <v>32</v>
      </c>
      <c r="B168" s="9" t="inlineStr">
        <is>
          <t>Less Annoying CRM</t>
        </is>
      </c>
      <c r="C168" s="9" t="inlineStr">
        <is>
          <t>crm</t>
        </is>
      </c>
      <c r="D168" s="9" t="inlineStr">
        <is>
          <t>CRM</t>
        </is>
      </c>
      <c r="E168" s="9" t="n">
        <v>4.85</v>
      </c>
      <c r="F168" s="9" t="n">
        <v>4.9</v>
      </c>
      <c r="G168" s="9" t="n">
        <v>4.8</v>
      </c>
      <c r="H168" s="9" t="n">
        <v>2009</v>
      </c>
      <c r="I168" s="9" t="inlineStr">
        <is>
          <t>St. Louis, MO</t>
        </is>
      </c>
      <c r="J168" s="9" t="b">
        <v>0</v>
      </c>
      <c r="K168" s="9" t="b">
        <v>0</v>
      </c>
      <c r="L168" s="9" t="b">
        <v>0</v>
      </c>
      <c r="M168" s="9" t="b">
        <v>1</v>
      </c>
      <c r="N168" s="9" t="n">
        <v>15</v>
      </c>
      <c r="O168" s="9" t="n">
        <v>15</v>
      </c>
      <c r="P168" s="9" t="n">
        <v>1</v>
      </c>
      <c r="Q168" s="9" t="n">
        <v>7</v>
      </c>
      <c r="R168" s="9" t="inlineStr">
        <is>
          <t>https://www.lessannoyingcrm.com</t>
        </is>
      </c>
      <c r="S168">
        <f>IF(M168,N168,"")</f>
        <v/>
      </c>
    </row>
    <row r="169">
      <c r="A169" s="9" t="n">
        <v>10</v>
      </c>
      <c r="B169" s="9" t="inlineStr">
        <is>
          <t>Linear</t>
        </is>
      </c>
      <c r="C169" s="9" t="inlineStr">
        <is>
          <t>project-management</t>
        </is>
      </c>
      <c r="D169" s="9" t="inlineStr">
        <is>
          <t>Project Management</t>
        </is>
      </c>
      <c r="E169" s="9" t="n">
        <v>4.65</v>
      </c>
      <c r="F169" s="9" t="n">
        <v>4.6</v>
      </c>
      <c r="G169" s="9" t="n">
        <v>4.7</v>
      </c>
      <c r="H169" s="9" t="n">
        <v>2019</v>
      </c>
      <c r="I169" s="9" t="inlineStr">
        <is>
          <t>San Francisco, CA</t>
        </is>
      </c>
      <c r="J169" s="9" t="b">
        <v>1</v>
      </c>
      <c r="K169" s="9" t="b">
        <v>0</v>
      </c>
      <c r="L169" s="9" t="b">
        <v>1</v>
      </c>
      <c r="M169" s="9" t="b">
        <v>1</v>
      </c>
      <c r="N169" s="9" t="n">
        <v>10</v>
      </c>
      <c r="O169" s="9" t="n">
        <v>16</v>
      </c>
      <c r="P169" s="9" t="n">
        <v>4</v>
      </c>
      <c r="Q169" s="9" t="n">
        <v>8</v>
      </c>
      <c r="R169" s="9" t="inlineStr">
        <is>
          <t>https://linear.app</t>
        </is>
      </c>
      <c r="S169">
        <f>IF(M169,N169,"")</f>
        <v/>
      </c>
    </row>
    <row r="170">
      <c r="A170" s="9" t="n">
        <v>84</v>
      </c>
      <c r="B170" s="9" t="inlineStr">
        <is>
          <t>Linode (Akamai Cloud)</t>
        </is>
      </c>
      <c r="C170" s="9" t="inlineStr">
        <is>
          <t>cloud-hosting</t>
        </is>
      </c>
      <c r="D170" s="9" t="inlineStr">
        <is>
          <t>Cloud Hosting</t>
        </is>
      </c>
      <c r="E170" s="9" t="n">
        <v>4.4</v>
      </c>
      <c r="F170" s="9" t="n">
        <v>4.3</v>
      </c>
      <c r="G170" s="9" t="n">
        <v>4.5</v>
      </c>
      <c r="H170" s="9" t="n">
        <v>2003</v>
      </c>
      <c r="I170" s="9" t="inlineStr">
        <is>
          <t>Philadelphia, PA (Akamai)</t>
        </is>
      </c>
      <c r="J170" s="9" t="b">
        <v>1</v>
      </c>
      <c r="K170" s="9" t="b">
        <v>0</v>
      </c>
      <c r="L170" s="9" t="b">
        <v>0</v>
      </c>
      <c r="M170" s="9" t="b">
        <v>1</v>
      </c>
      <c r="N170" s="9" t="n">
        <v>5</v>
      </c>
      <c r="O170" s="9" t="n">
        <v>24</v>
      </c>
      <c r="P170" s="9" t="n">
        <v>4</v>
      </c>
      <c r="Q170" s="9" t="n">
        <v>20</v>
      </c>
      <c r="R170" s="9" t="inlineStr">
        <is>
          <t>https://www.linode.com</t>
        </is>
      </c>
      <c r="S170">
        <f>IF(M170,N170,"")</f>
        <v/>
      </c>
    </row>
    <row r="171">
      <c r="A171" s="9" t="n">
        <v>130</v>
      </c>
      <c r="B171" s="9" t="inlineStr">
        <is>
          <t>Livestorm</t>
        </is>
      </c>
      <c r="C171" s="9" t="inlineStr">
        <is>
          <t>video-conferencing</t>
        </is>
      </c>
      <c r="D171" s="9" t="inlineStr">
        <is>
          <t>Video Conferencing</t>
        </is>
      </c>
      <c r="E171" s="9" t="n">
        <v>4.5</v>
      </c>
      <c r="F171" s="9" t="n">
        <v>4.3</v>
      </c>
      <c r="G171" s="9" t="n">
        <v>4.7</v>
      </c>
      <c r="H171" s="9" t="n">
        <v>2016</v>
      </c>
      <c r="I171" s="9" t="inlineStr">
        <is>
          <t>Paris, France</t>
        </is>
      </c>
      <c r="J171" s="9" t="b">
        <v>1</v>
      </c>
      <c r="K171" s="9" t="b">
        <v>0</v>
      </c>
      <c r="L171" s="9" t="b">
        <v>1</v>
      </c>
      <c r="M171" s="9" t="b">
        <v>1</v>
      </c>
      <c r="N171" s="9" t="n">
        <v>99</v>
      </c>
      <c r="O171" s="9" t="n">
        <v>99</v>
      </c>
      <c r="P171" s="9" t="n">
        <v>4</v>
      </c>
      <c r="Q171" s="9" t="n">
        <v>12</v>
      </c>
      <c r="R171" s="9" t="inlineStr">
        <is>
          <t>https://livestorm.co</t>
        </is>
      </c>
      <c r="S171">
        <f>IF(M171,N171,"")</f>
        <v/>
      </c>
    </row>
    <row r="172">
      <c r="A172" s="9" t="n">
        <v>238</v>
      </c>
      <c r="B172" s="9" t="inlineStr">
        <is>
          <t>Llama (Meta)</t>
        </is>
      </c>
      <c r="C172" s="9" t="inlineStr">
        <is>
          <t>llm</t>
        </is>
      </c>
      <c r="D172" s="9" t="inlineStr">
        <is>
          <t>Large Language Models</t>
        </is>
      </c>
      <c r="E172" s="9" t="n">
        <v>4.65</v>
      </c>
      <c r="F172" s="9" t="n">
        <v>4.6</v>
      </c>
      <c r="G172" s="9" t="n">
        <v>4.7</v>
      </c>
      <c r="H172" s="9" t="n">
        <v>2023</v>
      </c>
      <c r="I172" s="9" t="n">
        <v/>
      </c>
      <c r="J172" s="9" t="b">
        <v>1</v>
      </c>
      <c r="K172" s="9" t="b">
        <v>0</v>
      </c>
      <c r="L172" s="9" t="b">
        <v>1</v>
      </c>
      <c r="M172" s="9" t="b">
        <v>1</v>
      </c>
      <c r="N172" s="9" t="n">
        <v/>
      </c>
      <c r="O172" s="9" t="n">
        <v>0</v>
      </c>
      <c r="P172" s="9" t="n">
        <v>2</v>
      </c>
      <c r="Q172" s="9" t="n">
        <v>6</v>
      </c>
      <c r="R172" s="9" t="inlineStr">
        <is>
          <t>https://www.llama.com</t>
        </is>
      </c>
      <c r="S172">
        <f>IF(M172,N172,"")</f>
        <v/>
      </c>
    </row>
    <row r="173">
      <c r="A173" s="9" t="n">
        <v>244</v>
      </c>
      <c r="B173" s="9" t="inlineStr">
        <is>
          <t>Llama 3.1</t>
        </is>
      </c>
      <c r="C173" s="9" t="inlineStr">
        <is>
          <t>llm</t>
        </is>
      </c>
      <c r="D173" s="9" t="inlineStr">
        <is>
          <t>Large Language Models</t>
        </is>
      </c>
      <c r="E173" s="9" t="n">
        <v>4.25</v>
      </c>
      <c r="F173" s="9" t="n">
        <v>4.3</v>
      </c>
      <c r="G173" s="9" t="n">
        <v>4.2</v>
      </c>
      <c r="H173" s="9" t="n">
        <v>2024</v>
      </c>
      <c r="I173" s="9" t="n">
        <v/>
      </c>
      <c r="J173" s="9" t="b">
        <v>1</v>
      </c>
      <c r="K173" s="9" t="b">
        <v>0</v>
      </c>
      <c r="L173" s="9" t="b">
        <v>0</v>
      </c>
      <c r="M173" s="9" t="b">
        <v>1</v>
      </c>
      <c r="N173" s="9" t="n">
        <v/>
      </c>
      <c r="O173" s="9" t="n">
        <v>0</v>
      </c>
      <c r="P173" s="9" t="n">
        <v>2</v>
      </c>
      <c r="Q173" s="9" t="n">
        <v>14</v>
      </c>
      <c r="R173" s="9" t="inlineStr">
        <is>
          <t>https://www.llama.com</t>
        </is>
      </c>
      <c r="S173">
        <f>IF(M173,N173,"")</f>
        <v/>
      </c>
    </row>
    <row r="174">
      <c r="A174" s="9" t="n">
        <v>126</v>
      </c>
      <c r="B174" s="9" t="inlineStr">
        <is>
          <t>Loom</t>
        </is>
      </c>
      <c r="C174" s="9" t="inlineStr">
        <is>
          <t>video-conferencing</t>
        </is>
      </c>
      <c r="D174" s="9" t="inlineStr">
        <is>
          <t>Video Conferencing</t>
        </is>
      </c>
      <c r="E174" s="9" t="n">
        <v>4.7</v>
      </c>
      <c r="F174" s="9" t="n">
        <v>4.7</v>
      </c>
      <c r="G174" s="9" t="n">
        <v>4.7</v>
      </c>
      <c r="H174" s="9" t="n">
        <v>2016</v>
      </c>
      <c r="I174" s="9" t="inlineStr">
        <is>
          <t>San Francisco, CA (Atlassian)</t>
        </is>
      </c>
      <c r="J174" s="9" t="b">
        <v>1</v>
      </c>
      <c r="K174" s="9" t="b">
        <v>0</v>
      </c>
      <c r="L174" s="9" t="b">
        <v>1</v>
      </c>
      <c r="M174" s="9" t="b">
        <v>1</v>
      </c>
      <c r="N174" s="9" t="n">
        <v>18</v>
      </c>
      <c r="O174" s="9" t="n">
        <v>24</v>
      </c>
      <c r="P174" s="9" t="n">
        <v>4</v>
      </c>
      <c r="Q174" s="9" t="n">
        <v>8</v>
      </c>
      <c r="R174" s="9" t="inlineStr">
        <is>
          <t>https://www.loom.com</t>
        </is>
      </c>
      <c r="S174">
        <f>IF(M174,N174,"")</f>
        <v/>
      </c>
    </row>
    <row r="175">
      <c r="A175" s="9" t="n">
        <v>54</v>
      </c>
      <c r="B175" s="9" t="inlineStr">
        <is>
          <t>Loops</t>
        </is>
      </c>
      <c r="C175" s="9" t="inlineStr">
        <is>
          <t>email-marketing</t>
        </is>
      </c>
      <c r="D175" s="9" t="inlineStr">
        <is>
          <t>Email Marketing</t>
        </is>
      </c>
      <c r="E175" s="9" t="n">
        <v>4.8</v>
      </c>
      <c r="F175" s="9" t="n">
        <v>4.8</v>
      </c>
      <c r="G175" s="9" t="n">
        <v>4.8</v>
      </c>
      <c r="H175" s="9" t="n">
        <v>2022</v>
      </c>
      <c r="I175" s="9" t="inlineStr">
        <is>
          <t>San Francisco, CA</t>
        </is>
      </c>
      <c r="J175" s="9" t="b">
        <v>1</v>
      </c>
      <c r="K175" s="9" t="b">
        <v>0</v>
      </c>
      <c r="L175" s="9" t="b">
        <v>0</v>
      </c>
      <c r="M175" s="9" t="b">
        <v>1</v>
      </c>
      <c r="N175" s="9" t="n">
        <v>49</v>
      </c>
      <c r="O175" s="9" t="n">
        <v>599</v>
      </c>
      <c r="P175" s="9" t="n">
        <v>4</v>
      </c>
      <c r="Q175" s="9" t="n">
        <v>12</v>
      </c>
      <c r="R175" s="9" t="inlineStr">
        <is>
          <t>https://loops.so</t>
        </is>
      </c>
      <c r="S175">
        <f>IF(M175,N175,"")</f>
        <v/>
      </c>
    </row>
    <row r="176">
      <c r="A176" s="9" t="n">
        <v>200</v>
      </c>
      <c r="B176" s="9" t="inlineStr">
        <is>
          <t>Luma AI (Dream Machine)</t>
        </is>
      </c>
      <c r="C176" s="9" t="inlineStr">
        <is>
          <t>ai-image</t>
        </is>
      </c>
      <c r="D176" s="9" t="inlineStr">
        <is>
          <t>AI Image Generators</t>
        </is>
      </c>
      <c r="E176" s="9" t="n">
        <v>4.45</v>
      </c>
      <c r="F176" s="9" t="n">
        <v>4.5</v>
      </c>
      <c r="G176" s="9" t="n">
        <v>4.4</v>
      </c>
      <c r="H176" s="9" t="n">
        <v>2021</v>
      </c>
      <c r="I176" s="9" t="n">
        <v/>
      </c>
      <c r="J176" s="9" t="b">
        <v>1</v>
      </c>
      <c r="K176" s="9" t="b">
        <v>0</v>
      </c>
      <c r="L176" s="9" t="b">
        <v>0</v>
      </c>
      <c r="M176" s="9" t="b">
        <v>1</v>
      </c>
      <c r="N176" s="9" t="n">
        <v>30</v>
      </c>
      <c r="O176" s="9" t="n">
        <v>100</v>
      </c>
      <c r="P176" s="9" t="n">
        <v>3</v>
      </c>
      <c r="Q176" s="9" t="n">
        <v>11</v>
      </c>
      <c r="R176" s="9" t="inlineStr">
        <is>
          <t>https://lumalabs.ai</t>
        </is>
      </c>
      <c r="S176">
        <f>IF(M176,N176,"")</f>
        <v/>
      </c>
    </row>
    <row r="177">
      <c r="A177" s="9" t="n">
        <v>202</v>
      </c>
      <c r="B177" s="9" t="inlineStr">
        <is>
          <t>Luminar Neo</t>
        </is>
      </c>
      <c r="C177" s="9" t="inlineStr">
        <is>
          <t>ai-image</t>
        </is>
      </c>
      <c r="D177" s="9" t="inlineStr">
        <is>
          <t>AI Image Generators</t>
        </is>
      </c>
      <c r="E177" s="9" t="n">
        <v>4.55</v>
      </c>
      <c r="F177" s="9" t="n">
        <v>4.5</v>
      </c>
      <c r="G177" s="9" t="n">
        <v>4.6</v>
      </c>
      <c r="H177" s="9" t="n">
        <v>2008</v>
      </c>
      <c r="I177" s="9" t="n">
        <v/>
      </c>
      <c r="J177" s="9" t="b">
        <v>0</v>
      </c>
      <c r="K177" s="9" t="b">
        <v>0</v>
      </c>
      <c r="L177" s="9" t="b">
        <v>0</v>
      </c>
      <c r="M177" s="9" t="b">
        <v>1</v>
      </c>
      <c r="N177" s="9" t="n">
        <v>9</v>
      </c>
      <c r="O177" s="9" t="n">
        <v>99</v>
      </c>
      <c r="P177" s="9" t="n">
        <v>3</v>
      </c>
      <c r="Q177" s="9" t="n">
        <v>6</v>
      </c>
      <c r="R177" s="9" t="inlineStr">
        <is>
          <t>https://skylum.com/luminar-neo</t>
        </is>
      </c>
      <c r="S177">
        <f>IF(M177,N177,"")</f>
        <v/>
      </c>
    </row>
    <row r="178">
      <c r="A178" s="9" t="n">
        <v>100</v>
      </c>
      <c r="B178" s="9" t="inlineStr">
        <is>
          <t>Lunacy</t>
        </is>
      </c>
      <c r="C178" s="9" t="inlineStr">
        <is>
          <t>design-tools</t>
        </is>
      </c>
      <c r="D178" s="9" t="inlineStr">
        <is>
          <t>Design Tools</t>
        </is>
      </c>
      <c r="E178" s="9" t="n">
        <v>4.6</v>
      </c>
      <c r="F178" s="9" t="n">
        <v>4.5</v>
      </c>
      <c r="G178" s="9" t="n">
        <v>4.7</v>
      </c>
      <c r="H178" s="9" t="n">
        <v>2017</v>
      </c>
      <c r="I178" s="9" t="inlineStr">
        <is>
          <t>Mountain View, CA (Icons8)</t>
        </is>
      </c>
      <c r="J178" s="9" t="b">
        <v>1</v>
      </c>
      <c r="K178" s="9" t="b">
        <v>0</v>
      </c>
      <c r="L178" s="9" t="b">
        <v>0</v>
      </c>
      <c r="M178" s="9" t="b">
        <v>1</v>
      </c>
      <c r="N178" s="9" t="n">
        <v>14.99</v>
      </c>
      <c r="O178" s="9" t="n">
        <v>14.99</v>
      </c>
      <c r="P178" s="9" t="n">
        <v>2</v>
      </c>
      <c r="Q178" s="9" t="n">
        <v>17</v>
      </c>
      <c r="R178" s="9" t="inlineStr">
        <is>
          <t>https://icons8.com/lunacy</t>
        </is>
      </c>
      <c r="S178">
        <f>IF(M178,N178,"")</f>
        <v/>
      </c>
    </row>
    <row r="179">
      <c r="A179" s="9" t="n">
        <v>305</v>
      </c>
      <c r="B179" s="9" t="inlineStr">
        <is>
          <t>Maestro</t>
        </is>
      </c>
      <c r="C179" s="9" t="inlineStr">
        <is>
          <t>crypto-telegram-bots</t>
        </is>
      </c>
      <c r="D179" s="9" t="inlineStr">
        <is>
          <t>Crypto Telegram Bots</t>
        </is>
      </c>
      <c r="E179" s="9" t="n">
        <v>4.1</v>
      </c>
      <c r="F179" s="9" t="n">
        <v>4.1</v>
      </c>
      <c r="G179" s="9" t="n">
        <v/>
      </c>
      <c r="H179" s="9" t="n">
        <v>2022</v>
      </c>
      <c r="I179" s="9" t="inlineStr">
        <is>
          <t>Unknown</t>
        </is>
      </c>
      <c r="J179" s="9" t="b">
        <v>1</v>
      </c>
      <c r="K179" s="9" t="b">
        <v>0</v>
      </c>
      <c r="L179" s="9" t="b">
        <v>0</v>
      </c>
      <c r="M179" s="9" t="b">
        <v>1</v>
      </c>
      <c r="N179" s="9" t="n">
        <v/>
      </c>
      <c r="O179" s="9" t="n">
        <v>0</v>
      </c>
      <c r="P179" s="9" t="n">
        <v>1</v>
      </c>
      <c r="Q179" s="9" t="n">
        <v>11</v>
      </c>
      <c r="R179" s="9" t="inlineStr">
        <is>
          <t>https://www.maestrobots.com</t>
        </is>
      </c>
      <c r="S179">
        <f>IF(M179,N179,"")</f>
        <v/>
      </c>
    </row>
    <row r="180">
      <c r="A180" s="9" t="n">
        <v>37</v>
      </c>
      <c r="B180" s="9" t="inlineStr">
        <is>
          <t>Mailchimp</t>
        </is>
      </c>
      <c r="C180" s="9" t="inlineStr">
        <is>
          <t>email-marketing</t>
        </is>
      </c>
      <c r="D180" s="9" t="inlineStr">
        <is>
          <t>Email Marketing</t>
        </is>
      </c>
      <c r="E180" s="9" t="n">
        <v>4.45</v>
      </c>
      <c r="F180" s="9" t="n">
        <v>4.4</v>
      </c>
      <c r="G180" s="9" t="n">
        <v>4.5</v>
      </c>
      <c r="H180" s="9" t="n">
        <v>2001</v>
      </c>
      <c r="I180" s="9" t="inlineStr">
        <is>
          <t>Atlanta, GA (Intuit)</t>
        </is>
      </c>
      <c r="J180" s="9" t="b">
        <v>1</v>
      </c>
      <c r="K180" s="9" t="b">
        <v>0</v>
      </c>
      <c r="L180" s="9" t="b">
        <v>0</v>
      </c>
      <c r="M180" s="9" t="b">
        <v>1</v>
      </c>
      <c r="N180" s="9" t="n">
        <v>13</v>
      </c>
      <c r="O180" s="9" t="n">
        <v>350</v>
      </c>
      <c r="P180" s="9" t="n">
        <v>4</v>
      </c>
      <c r="Q180" s="9" t="n">
        <v>16</v>
      </c>
      <c r="R180" s="9" t="inlineStr">
        <is>
          <t>https://mailchimp.com</t>
        </is>
      </c>
      <c r="S180">
        <f>IF(M180,N180,"")</f>
        <v/>
      </c>
    </row>
    <row r="181">
      <c r="A181" s="9" t="n">
        <v>46</v>
      </c>
      <c r="B181" s="9" t="inlineStr">
        <is>
          <t>MailerLite</t>
        </is>
      </c>
      <c r="C181" s="9" t="inlineStr">
        <is>
          <t>email-marketing</t>
        </is>
      </c>
      <c r="D181" s="9" t="inlineStr">
        <is>
          <t>Email Marketing</t>
        </is>
      </c>
      <c r="E181" s="9" t="n">
        <v>4.7</v>
      </c>
      <c r="F181" s="9" t="n">
        <v>4.7</v>
      </c>
      <c r="G181" s="9" t="n">
        <v>4.7</v>
      </c>
      <c r="H181" s="9" t="n">
        <v>2010</v>
      </c>
      <c r="I181" s="9" t="inlineStr">
        <is>
          <t>Vilnius, Lithuania</t>
        </is>
      </c>
      <c r="J181" s="9" t="b">
        <v>1</v>
      </c>
      <c r="K181" s="9" t="b">
        <v>0</v>
      </c>
      <c r="L181" s="9" t="b">
        <v>1</v>
      </c>
      <c r="M181" s="9" t="b">
        <v>1</v>
      </c>
      <c r="N181" s="9" t="n">
        <v>10</v>
      </c>
      <c r="O181" s="9" t="n">
        <v>20</v>
      </c>
      <c r="P181" s="9" t="n">
        <v>4</v>
      </c>
      <c r="Q181" s="9" t="n">
        <v>13</v>
      </c>
      <c r="R181" s="9" t="inlineStr">
        <is>
          <t>https://www.mailerlite.com</t>
        </is>
      </c>
      <c r="S181">
        <f>IF(M181,N181,"")</f>
        <v/>
      </c>
    </row>
    <row r="182">
      <c r="A182" s="9" t="n">
        <v>146</v>
      </c>
      <c r="B182" s="9" t="inlineStr">
        <is>
          <t>Mailjet</t>
        </is>
      </c>
      <c r="C182" s="9" t="inlineStr">
        <is>
          <t>email-marketing</t>
        </is>
      </c>
      <c r="D182" s="9" t="inlineStr">
        <is>
          <t>Email Marketing</t>
        </is>
      </c>
      <c r="E182" s="9" t="n">
        <v>4.15</v>
      </c>
      <c r="F182" s="9" t="n">
        <v>4</v>
      </c>
      <c r="G182" s="9" t="n">
        <v>4.3</v>
      </c>
      <c r="H182" s="9" t="n">
        <v>2010</v>
      </c>
      <c r="I182" s="9" t="inlineStr">
        <is>
          <t>Paris, France (Sinch)</t>
        </is>
      </c>
      <c r="J182" s="9" t="b">
        <v>1</v>
      </c>
      <c r="K182" s="9" t="b">
        <v>0</v>
      </c>
      <c r="L182" s="9" t="b">
        <v>1</v>
      </c>
      <c r="M182" s="9" t="b">
        <v>1</v>
      </c>
      <c r="N182" s="9" t="n">
        <v>17</v>
      </c>
      <c r="O182" s="9" t="n">
        <v>27</v>
      </c>
      <c r="P182" s="9" t="n">
        <v>4</v>
      </c>
      <c r="Q182" s="9" t="n">
        <v>14</v>
      </c>
      <c r="R182" s="9" t="inlineStr">
        <is>
          <t>https://www.mailjet.com</t>
        </is>
      </c>
      <c r="S182">
        <f>IF(M182,N182,"")</f>
        <v/>
      </c>
    </row>
    <row r="183">
      <c r="A183" s="9" t="n">
        <v>183</v>
      </c>
      <c r="B183" s="9" t="inlineStr">
        <is>
          <t>Make (Integromat)</t>
        </is>
      </c>
      <c r="C183" s="9" t="inlineStr">
        <is>
          <t>ai-agents</t>
        </is>
      </c>
      <c r="D183" s="9" t="inlineStr">
        <is>
          <t>AI Agents</t>
        </is>
      </c>
      <c r="E183" s="9" t="n">
        <v>4.75</v>
      </c>
      <c r="F183" s="9" t="n">
        <v>4.7</v>
      </c>
      <c r="G183" s="9" t="n">
        <v>4.8</v>
      </c>
      <c r="H183" s="9" t="n">
        <v>2012</v>
      </c>
      <c r="I183" s="9" t="n">
        <v/>
      </c>
      <c r="J183" s="9" t="b">
        <v>1</v>
      </c>
      <c r="K183" s="9" t="b">
        <v>0</v>
      </c>
      <c r="L183" s="9" t="b">
        <v>0</v>
      </c>
      <c r="M183" s="9" t="b">
        <v>1</v>
      </c>
      <c r="N183" s="9" t="n">
        <v>10</v>
      </c>
      <c r="O183" s="9" t="n">
        <v>18</v>
      </c>
      <c r="P183" s="9" t="n">
        <v>3</v>
      </c>
      <c r="Q183" s="9" t="n">
        <v>13</v>
      </c>
      <c r="R183" s="9" t="inlineStr">
        <is>
          <t>https://make.com</t>
        </is>
      </c>
      <c r="S183">
        <f>IF(M183,N183,"")</f>
        <v/>
      </c>
    </row>
    <row r="184">
      <c r="A184" s="9" t="n">
        <v>119</v>
      </c>
      <c r="B184" s="9" t="inlineStr">
        <is>
          <t>Manager.io</t>
        </is>
      </c>
      <c r="C184" s="9" t="inlineStr">
        <is>
          <t>accounting</t>
        </is>
      </c>
      <c r="D184" s="9" t="inlineStr">
        <is>
          <t>Accounting</t>
        </is>
      </c>
      <c r="E184" s="9" t="n">
        <v>4.3</v>
      </c>
      <c r="F184" s="9" t="n">
        <v>4.3</v>
      </c>
      <c r="G184" s="9" t="n">
        <v>4.3</v>
      </c>
      <c r="H184" s="9" t="n">
        <v>2010</v>
      </c>
      <c r="I184" s="9" t="inlineStr">
        <is>
          <t>Auckland, New Zealand</t>
        </is>
      </c>
      <c r="J184" s="9" t="b">
        <v>1</v>
      </c>
      <c r="K184" s="9" t="b">
        <v>0</v>
      </c>
      <c r="L184" s="9" t="b">
        <v>0</v>
      </c>
      <c r="M184" s="9" t="b">
        <v>1</v>
      </c>
      <c r="N184" s="9" t="n">
        <v>50</v>
      </c>
      <c r="O184" s="9" t="n">
        <v>100</v>
      </c>
      <c r="P184" s="9" t="n">
        <v>3</v>
      </c>
      <c r="Q184" s="9" t="n">
        <v>16</v>
      </c>
      <c r="R184" s="9" t="inlineStr">
        <is>
          <t>https://www.manager.io</t>
        </is>
      </c>
      <c r="S184">
        <f>IF(M184,N184,"")</f>
        <v/>
      </c>
    </row>
    <row r="185">
      <c r="A185" s="9" t="n">
        <v>225</v>
      </c>
      <c r="B185" s="9" t="inlineStr">
        <is>
          <t>Mem AI</t>
        </is>
      </c>
      <c r="C185" s="9" t="inlineStr">
        <is>
          <t>ai-productivity</t>
        </is>
      </c>
      <c r="D185" s="9" t="inlineStr">
        <is>
          <t>AI Productivity</t>
        </is>
      </c>
      <c r="E185" s="9" t="n">
        <v>4.35</v>
      </c>
      <c r="F185" s="9" t="n">
        <v>4.4</v>
      </c>
      <c r="G185" s="9" t="n">
        <v>4.3</v>
      </c>
      <c r="H185" s="9" t="n">
        <v>2020</v>
      </c>
      <c r="I185" s="9" t="n">
        <v/>
      </c>
      <c r="J185" s="9" t="b">
        <v>1</v>
      </c>
      <c r="K185" s="9" t="b">
        <v>0</v>
      </c>
      <c r="L185" s="9" t="b">
        <v>0</v>
      </c>
      <c r="M185" s="9" t="b">
        <v>1</v>
      </c>
      <c r="N185" s="9" t="n">
        <v>20</v>
      </c>
      <c r="O185" s="9" t="n">
        <v>50</v>
      </c>
      <c r="P185" s="9" t="n">
        <v>3</v>
      </c>
      <c r="Q185" s="9" t="n">
        <v>2</v>
      </c>
      <c r="R185" s="9" t="inlineStr">
        <is>
          <t>https://mem.ai</t>
        </is>
      </c>
      <c r="S185">
        <f>IF(M185,N185,"")</f>
        <v/>
      </c>
    </row>
    <row r="186">
      <c r="A186" s="9" t="n">
        <v>277</v>
      </c>
      <c r="B186" s="9" t="inlineStr">
        <is>
          <t>Messari</t>
        </is>
      </c>
      <c r="C186" s="9" t="inlineStr">
        <is>
          <t>crypto-analytics</t>
        </is>
      </c>
      <c r="D186" s="9" t="inlineStr">
        <is>
          <t>Crypto Analytics</t>
        </is>
      </c>
      <c r="E186" s="9" t="n">
        <v>4.3</v>
      </c>
      <c r="F186" s="9" t="n">
        <v>4.3</v>
      </c>
      <c r="G186" s="9" t="n">
        <v/>
      </c>
      <c r="H186" s="9" t="n">
        <v>2018</v>
      </c>
      <c r="I186" s="9" t="inlineStr">
        <is>
          <t>New York, USA</t>
        </is>
      </c>
      <c r="J186" s="9" t="b">
        <v>1</v>
      </c>
      <c r="K186" s="9" t="b">
        <v>0</v>
      </c>
      <c r="L186" s="9" t="b">
        <v>1</v>
      </c>
      <c r="M186" s="9" t="b">
        <v>1</v>
      </c>
      <c r="N186" s="9" t="n">
        <v/>
      </c>
      <c r="O186" s="9" t="n">
        <v>0</v>
      </c>
      <c r="P186" s="9" t="n">
        <v>2</v>
      </c>
      <c r="Q186" s="9" t="n">
        <v>4</v>
      </c>
      <c r="R186" s="9" t="inlineStr">
        <is>
          <t>https://messari.io</t>
        </is>
      </c>
      <c r="S186">
        <f>IF(M186,N186,"")</f>
        <v/>
      </c>
    </row>
    <row r="187">
      <c r="A187" s="9" t="n">
        <v>237</v>
      </c>
      <c r="B187" s="9" t="inlineStr">
        <is>
          <t>Meta AI</t>
        </is>
      </c>
      <c r="C187" s="9" t="inlineStr">
        <is>
          <t>llm</t>
        </is>
      </c>
      <c r="D187" s="9" t="inlineStr">
        <is>
          <t>Large Language Models</t>
        </is>
      </c>
      <c r="E187" s="9" t="n">
        <v>4.25</v>
      </c>
      <c r="F187" s="9" t="n">
        <v>4.2</v>
      </c>
      <c r="G187" s="9" t="n">
        <v>4.3</v>
      </c>
      <c r="H187" s="9" t="n">
        <v>2023</v>
      </c>
      <c r="I187" s="9" t="n">
        <v/>
      </c>
      <c r="J187" s="9" t="b">
        <v>1</v>
      </c>
      <c r="K187" s="9" t="b">
        <v>0</v>
      </c>
      <c r="L187" s="9" t="b">
        <v>0</v>
      </c>
      <c r="M187" s="9" t="b">
        <v>1</v>
      </c>
      <c r="N187" s="9" t="n">
        <v/>
      </c>
      <c r="O187" s="9" t="n">
        <v>0</v>
      </c>
      <c r="P187" s="9" t="n">
        <v>1</v>
      </c>
      <c r="Q187" s="9" t="n">
        <v>9</v>
      </c>
      <c r="R187" s="9" t="inlineStr">
        <is>
          <t>https://www.meta.ai</t>
        </is>
      </c>
      <c r="S187">
        <f>IF(M187,N187,"")</f>
        <v/>
      </c>
    </row>
    <row r="188">
      <c r="A188" s="9" t="n">
        <v>313</v>
      </c>
      <c r="B188" s="9" t="inlineStr">
        <is>
          <t>MetaMask</t>
        </is>
      </c>
      <c r="C188" s="9" t="inlineStr">
        <is>
          <t>crypto-wallets</t>
        </is>
      </c>
      <c r="D188" s="9" t="inlineStr">
        <is>
          <t>Crypto Wallets</t>
        </is>
      </c>
      <c r="E188" s="9" t="n">
        <v>4.3</v>
      </c>
      <c r="F188" s="9" t="n">
        <v>4.3</v>
      </c>
      <c r="G188" s="9" t="n">
        <v/>
      </c>
      <c r="H188" s="9" t="n">
        <v>2016</v>
      </c>
      <c r="I188" s="9" t="inlineStr">
        <is>
          <t>ConsenSys (USA)</t>
        </is>
      </c>
      <c r="J188" s="9" t="b">
        <v>1</v>
      </c>
      <c r="K188" s="9" t="b">
        <v>0</v>
      </c>
      <c r="L188" s="9" t="b">
        <v>0</v>
      </c>
      <c r="M188" s="9" t="b">
        <v>1</v>
      </c>
      <c r="N188" s="9" t="n">
        <v/>
      </c>
      <c r="O188" s="9" t="n">
        <v>0</v>
      </c>
      <c r="P188" s="9" t="n">
        <v>1</v>
      </c>
      <c r="Q188" s="9" t="n">
        <v>12</v>
      </c>
      <c r="R188" s="9" t="inlineStr">
        <is>
          <t>https://metamask.io</t>
        </is>
      </c>
      <c r="S188">
        <f>IF(M188,N188,"")</f>
        <v/>
      </c>
    </row>
    <row r="189">
      <c r="A189" s="9" t="n">
        <v>86</v>
      </c>
      <c r="B189" s="9" t="inlineStr">
        <is>
          <t>Microsoft Azure</t>
        </is>
      </c>
      <c r="C189" s="9" t="inlineStr">
        <is>
          <t>cloud-hosting</t>
        </is>
      </c>
      <c r="D189" s="9" t="inlineStr">
        <is>
          <t>Cloud Hosting</t>
        </is>
      </c>
      <c r="E189" s="9" t="n">
        <v>4.45</v>
      </c>
      <c r="F189" s="9" t="n">
        <v>4.4</v>
      </c>
      <c r="G189" s="9" t="n">
        <v>4.5</v>
      </c>
      <c r="H189" s="9" t="n">
        <v>2010</v>
      </c>
      <c r="I189" s="9" t="inlineStr">
        <is>
          <t>Redmond, WA</t>
        </is>
      </c>
      <c r="J189" s="9" t="b">
        <v>1</v>
      </c>
      <c r="K189" s="9" t="b">
        <v>0</v>
      </c>
      <c r="L189" s="9" t="b">
        <v>1</v>
      </c>
      <c r="M189" s="9" t="b">
        <v>1</v>
      </c>
      <c r="N189" s="9" t="n">
        <v/>
      </c>
      <c r="O189" s="9" t="n">
        <v>0</v>
      </c>
      <c r="P189" s="9" t="n">
        <v>2</v>
      </c>
      <c r="Q189" s="9" t="n">
        <v>20</v>
      </c>
      <c r="R189" s="9" t="inlineStr">
        <is>
          <t>https://azure.microsoft.com</t>
        </is>
      </c>
      <c r="S189">
        <f>IF(M189,N189,"")</f>
        <v/>
      </c>
    </row>
    <row r="190">
      <c r="A190" s="9" t="n">
        <v>214</v>
      </c>
      <c r="B190" s="9" t="inlineStr">
        <is>
          <t>Microsoft Copilot</t>
        </is>
      </c>
      <c r="C190" s="9" t="inlineStr">
        <is>
          <t>ai-assistants</t>
        </is>
      </c>
      <c r="D190" s="9" t="inlineStr">
        <is>
          <t>AI Assistants</t>
        </is>
      </c>
      <c r="E190" s="9" t="n">
        <v>4.45</v>
      </c>
      <c r="F190" s="9" t="n">
        <v>4.5</v>
      </c>
      <c r="G190" s="9" t="n">
        <v>4.4</v>
      </c>
      <c r="H190" s="9" t="n">
        <v>2023</v>
      </c>
      <c r="I190" s="9" t="n">
        <v/>
      </c>
      <c r="J190" s="9" t="b">
        <v>1</v>
      </c>
      <c r="K190" s="9" t="b">
        <v>0</v>
      </c>
      <c r="L190" s="9" t="b">
        <v>0</v>
      </c>
      <c r="M190" s="9" t="b">
        <v>1</v>
      </c>
      <c r="N190" s="9" t="n">
        <v>20</v>
      </c>
      <c r="O190" s="9" t="n">
        <v>30</v>
      </c>
      <c r="P190" s="9" t="n">
        <v>3</v>
      </c>
      <c r="Q190" s="9" t="n">
        <v>12</v>
      </c>
      <c r="R190" s="9" t="inlineStr">
        <is>
          <t>https://copilot.microsoft.com</t>
        </is>
      </c>
      <c r="S190">
        <f>IF(M190,N190,"")</f>
        <v/>
      </c>
    </row>
    <row r="191">
      <c r="A191" s="9" t="n">
        <v>124</v>
      </c>
      <c r="B191" s="9" t="inlineStr">
        <is>
          <t>Microsoft Teams</t>
        </is>
      </c>
      <c r="C191" s="9" t="inlineStr">
        <is>
          <t>video-conferencing</t>
        </is>
      </c>
      <c r="D191" s="9" t="inlineStr">
        <is>
          <t>Video Conferencing</t>
        </is>
      </c>
      <c r="E191" s="9" t="n">
        <v>4.4</v>
      </c>
      <c r="F191" s="9" t="n">
        <v>4.3</v>
      </c>
      <c r="G191" s="9" t="n">
        <v>4.5</v>
      </c>
      <c r="H191" s="9" t="n">
        <v>2017</v>
      </c>
      <c r="I191" s="9" t="inlineStr">
        <is>
          <t>Redmond, WA (Microsoft)</t>
        </is>
      </c>
      <c r="J191" s="9" t="b">
        <v>1</v>
      </c>
      <c r="K191" s="9" t="b">
        <v>0</v>
      </c>
      <c r="L191" s="9" t="b">
        <v>0</v>
      </c>
      <c r="M191" s="9" t="b">
        <v>1</v>
      </c>
      <c r="N191" s="9" t="n">
        <v>4</v>
      </c>
      <c r="O191" s="9" t="n">
        <v>12.5</v>
      </c>
      <c r="P191" s="9" t="n">
        <v>4</v>
      </c>
      <c r="Q191" s="9" t="n">
        <v>17</v>
      </c>
      <c r="R191" s="9" t="inlineStr">
        <is>
          <t>https://www.microsoft.com/microsoft-teams</t>
        </is>
      </c>
      <c r="S191">
        <f>IF(M191,N191,"")</f>
        <v/>
      </c>
    </row>
    <row r="192">
      <c r="A192" s="9" t="n">
        <v>167</v>
      </c>
      <c r="B192" s="9" t="inlineStr">
        <is>
          <t>Midjourney</t>
        </is>
      </c>
      <c r="C192" s="9" t="inlineStr">
        <is>
          <t>ai-image</t>
        </is>
      </c>
      <c r="D192" s="9" t="inlineStr">
        <is>
          <t>AI Image Generators</t>
        </is>
      </c>
      <c r="E192" s="9" t="n">
        <v>4.45</v>
      </c>
      <c r="F192" s="9" t="n">
        <v>4.4</v>
      </c>
      <c r="G192" s="9" t="n">
        <v>4.5</v>
      </c>
      <c r="H192" s="9" t="n">
        <v>2022</v>
      </c>
      <c r="I192" s="9" t="n">
        <v/>
      </c>
      <c r="J192" s="9" t="b">
        <v>0</v>
      </c>
      <c r="K192" s="9" t="b">
        <v>0</v>
      </c>
      <c r="L192" s="9" t="b">
        <v>0</v>
      </c>
      <c r="M192" s="9" t="b">
        <v>1</v>
      </c>
      <c r="N192" s="9" t="n">
        <v>10</v>
      </c>
      <c r="O192" s="9" t="n">
        <v>60</v>
      </c>
      <c r="P192" s="9" t="n">
        <v>3</v>
      </c>
      <c r="Q192" s="9" t="n">
        <v>5</v>
      </c>
      <c r="R192" s="9" t="inlineStr">
        <is>
          <t>https://midjourney.com</t>
        </is>
      </c>
      <c r="S192">
        <f>IF(M192,N192,"")</f>
        <v/>
      </c>
    </row>
    <row r="193">
      <c r="A193" s="9" t="n">
        <v>16</v>
      </c>
      <c r="B193" s="9" t="inlineStr">
        <is>
          <t>Miro</t>
        </is>
      </c>
      <c r="C193" s="9" t="inlineStr">
        <is>
          <t>project-management</t>
        </is>
      </c>
      <c r="D193" s="9" t="inlineStr">
        <is>
          <t>Project Management</t>
        </is>
      </c>
      <c r="E193" s="9" t="n">
        <v>4.75</v>
      </c>
      <c r="F193" s="9" t="n">
        <v>4.8</v>
      </c>
      <c r="G193" s="9" t="n">
        <v>4.7</v>
      </c>
      <c r="H193" s="9" t="n">
        <v>2011</v>
      </c>
      <c r="I193" s="9" t="inlineStr">
        <is>
          <t>San Francisco, CA / Amsterdam</t>
        </is>
      </c>
      <c r="J193" s="9" t="b">
        <v>1</v>
      </c>
      <c r="K193" s="9" t="b">
        <v>0</v>
      </c>
      <c r="L193" s="9" t="b">
        <v>1</v>
      </c>
      <c r="M193" s="9" t="b">
        <v>1</v>
      </c>
      <c r="N193" s="9" t="n">
        <v>8</v>
      </c>
      <c r="O193" s="9" t="n">
        <v>20</v>
      </c>
      <c r="P193" s="9" t="n">
        <v>4</v>
      </c>
      <c r="Q193" s="9" t="n">
        <v>13</v>
      </c>
      <c r="R193" s="9" t="inlineStr">
        <is>
          <t>https://miro.com</t>
        </is>
      </c>
      <c r="S193">
        <f>IF(M193,N193,"")</f>
        <v/>
      </c>
    </row>
    <row r="194">
      <c r="A194" s="9" t="n">
        <v>105</v>
      </c>
      <c r="B194" s="9" t="inlineStr">
        <is>
          <t>Miro</t>
        </is>
      </c>
      <c r="C194" s="9" t="inlineStr">
        <is>
          <t>design-tools</t>
        </is>
      </c>
      <c r="D194" s="9" t="inlineStr">
        <is>
          <t>Design Tools</t>
        </is>
      </c>
      <c r="E194" s="9" t="n">
        <v>4.75</v>
      </c>
      <c r="F194" s="9" t="n">
        <v>4.8</v>
      </c>
      <c r="G194" s="9" t="n">
        <v>4.7</v>
      </c>
      <c r="H194" s="9" t="n">
        <v>2011</v>
      </c>
      <c r="I194" s="9" t="inlineStr">
        <is>
          <t>San Francisco, CA / Amsterdam</t>
        </is>
      </c>
      <c r="J194" s="9" t="b">
        <v>1</v>
      </c>
      <c r="K194" s="9" t="b">
        <v>0</v>
      </c>
      <c r="L194" s="9" t="b">
        <v>1</v>
      </c>
      <c r="M194" s="9" t="b">
        <v>1</v>
      </c>
      <c r="N194" s="9" t="n">
        <v>10</v>
      </c>
      <c r="O194" s="9" t="n">
        <v>20</v>
      </c>
      <c r="P194" s="9" t="n">
        <v>4</v>
      </c>
      <c r="Q194" s="9" t="n">
        <v>7</v>
      </c>
      <c r="R194" s="9" t="inlineStr">
        <is>
          <t>https://miro.com</t>
        </is>
      </c>
      <c r="S194">
        <f>IF(M194,N194,"")</f>
        <v/>
      </c>
    </row>
    <row r="195">
      <c r="A195" s="9" t="n">
        <v>216</v>
      </c>
      <c r="B195" s="9" t="inlineStr">
        <is>
          <t>Mistral AI</t>
        </is>
      </c>
      <c r="C195" s="9" t="inlineStr">
        <is>
          <t>llm</t>
        </is>
      </c>
      <c r="D195" s="9" t="inlineStr">
        <is>
          <t>Large Language Models</t>
        </is>
      </c>
      <c r="E195" s="9" t="n">
        <v>4.45</v>
      </c>
      <c r="F195" s="9" t="n">
        <v>4.5</v>
      </c>
      <c r="G195" s="9" t="n">
        <v>4.4</v>
      </c>
      <c r="H195" s="9" t="n">
        <v>2023</v>
      </c>
      <c r="I195" s="9" t="n">
        <v/>
      </c>
      <c r="J195" s="9" t="b">
        <v>0</v>
      </c>
      <c r="K195" s="9" t="b">
        <v>0</v>
      </c>
      <c r="L195" s="9" t="b">
        <v>1</v>
      </c>
      <c r="M195" s="9" t="b">
        <v>1</v>
      </c>
      <c r="N195" s="9" t="n">
        <v/>
      </c>
      <c r="O195" s="9" t="n">
        <v>0</v>
      </c>
      <c r="P195" s="9" t="n">
        <v>3</v>
      </c>
      <c r="Q195" s="9" t="n">
        <v>10</v>
      </c>
      <c r="R195" s="9" t="inlineStr">
        <is>
          <t>https://mistral.ai</t>
        </is>
      </c>
      <c r="S195">
        <f>IF(M195,N195,"")</f>
        <v/>
      </c>
    </row>
    <row r="196">
      <c r="A196" s="9" t="n">
        <v>245</v>
      </c>
      <c r="B196" s="9" t="inlineStr">
        <is>
          <t>Mistral Large</t>
        </is>
      </c>
      <c r="C196" s="9" t="inlineStr">
        <is>
          <t>llm</t>
        </is>
      </c>
      <c r="D196" s="9" t="inlineStr">
        <is>
          <t>Large Language Models</t>
        </is>
      </c>
      <c r="E196" s="9" t="n">
        <v>4.25</v>
      </c>
      <c r="F196" s="9" t="n">
        <v>4.3</v>
      </c>
      <c r="G196" s="9" t="n">
        <v>4.2</v>
      </c>
      <c r="H196" s="9" t="n">
        <v>2024</v>
      </c>
      <c r="I196" s="9" t="n">
        <v/>
      </c>
      <c r="J196" s="9" t="b">
        <v>1</v>
      </c>
      <c r="K196" s="9" t="b">
        <v>0</v>
      </c>
      <c r="L196" s="9" t="b">
        <v>0</v>
      </c>
      <c r="M196" s="9" t="b">
        <v>1</v>
      </c>
      <c r="N196" s="9" t="n">
        <v/>
      </c>
      <c r="O196" s="9" t="n">
        <v>0</v>
      </c>
      <c r="P196" s="9" t="n">
        <v>2</v>
      </c>
      <c r="Q196" s="9" t="n">
        <v>15</v>
      </c>
      <c r="R196" s="9" t="inlineStr">
        <is>
          <t>https://mistral.ai</t>
        </is>
      </c>
      <c r="S196">
        <f>IF(M196,N196,"")</f>
        <v/>
      </c>
    </row>
    <row r="197">
      <c r="A197" s="9" t="n">
        <v>49</v>
      </c>
      <c r="B197" s="9" t="inlineStr">
        <is>
          <t>Moosend</t>
        </is>
      </c>
      <c r="C197" s="9" t="inlineStr">
        <is>
          <t>email-marketing</t>
        </is>
      </c>
      <c r="D197" s="9" t="inlineStr">
        <is>
          <t>Email Marketing</t>
        </is>
      </c>
      <c r="E197" s="9" t="n">
        <v>4.6</v>
      </c>
      <c r="F197" s="9" t="n">
        <v>4.6</v>
      </c>
      <c r="G197" s="9" t="n">
        <v>4.6</v>
      </c>
      <c r="H197" s="9" t="n">
        <v>2011</v>
      </c>
      <c r="I197" s="9" t="inlineStr">
        <is>
          <t>London, UK (Sitecore)</t>
        </is>
      </c>
      <c r="J197" s="9" t="b">
        <v>0</v>
      </c>
      <c r="K197" s="9" t="b">
        <v>0</v>
      </c>
      <c r="L197" s="9" t="b">
        <v>1</v>
      </c>
      <c r="M197" s="9" t="b">
        <v>1</v>
      </c>
      <c r="N197" s="9" t="n">
        <v>9</v>
      </c>
      <c r="O197" s="9" t="n">
        <v>9</v>
      </c>
      <c r="P197" s="9" t="n">
        <v>2</v>
      </c>
      <c r="Q197" s="9" t="n">
        <v>15</v>
      </c>
      <c r="R197" s="9" t="inlineStr">
        <is>
          <t>https://moosend.com</t>
        </is>
      </c>
      <c r="S197">
        <f>IF(M197,N197,"")</f>
        <v/>
      </c>
    </row>
    <row r="198">
      <c r="A198" s="9" t="n">
        <v>180</v>
      </c>
      <c r="B198" s="9" t="inlineStr">
        <is>
          <t>Murf AI</t>
        </is>
      </c>
      <c r="C198" s="9" t="inlineStr">
        <is>
          <t>ai-voice</t>
        </is>
      </c>
      <c r="D198" s="9" t="inlineStr">
        <is>
          <t>AI Voice &amp; Audio</t>
        </is>
      </c>
      <c r="E198" s="9" t="n">
        <v>4.65</v>
      </c>
      <c r="F198" s="9" t="n">
        <v>4.7</v>
      </c>
      <c r="G198" s="9" t="n">
        <v>4.6</v>
      </c>
      <c r="H198" s="9" t="n">
        <v>2020</v>
      </c>
      <c r="I198" s="9" t="n">
        <v/>
      </c>
      <c r="J198" s="9" t="b">
        <v>1</v>
      </c>
      <c r="K198" s="9" t="b">
        <v>0</v>
      </c>
      <c r="L198" s="9" t="b">
        <v>1</v>
      </c>
      <c r="M198" s="9" t="b">
        <v>1</v>
      </c>
      <c r="N198" s="9" t="n">
        <v>19</v>
      </c>
      <c r="O198" s="9" t="n">
        <v>66</v>
      </c>
      <c r="P198" s="9" t="n">
        <v>4</v>
      </c>
      <c r="Q198" s="9" t="n">
        <v>8</v>
      </c>
      <c r="R198" s="9" t="inlineStr">
        <is>
          <t>https://murf.ai</t>
        </is>
      </c>
      <c r="S198">
        <f>IF(M198,N198,"")</f>
        <v/>
      </c>
    </row>
    <row r="199">
      <c r="A199" s="9" t="n">
        <v>89</v>
      </c>
      <c r="B199" s="9" t="inlineStr">
        <is>
          <t>Namecheap</t>
        </is>
      </c>
      <c r="C199" s="9" t="inlineStr">
        <is>
          <t>cloud-hosting</t>
        </is>
      </c>
      <c r="D199" s="9" t="inlineStr">
        <is>
          <t>Cloud Hosting</t>
        </is>
      </c>
      <c r="E199" s="9" t="n">
        <v>4.5</v>
      </c>
      <c r="F199" s="9" t="n">
        <v>4.4</v>
      </c>
      <c r="G199" s="9" t="n">
        <v>4.6</v>
      </c>
      <c r="H199" s="9" t="n">
        <v>2000</v>
      </c>
      <c r="I199" s="9" t="inlineStr">
        <is>
          <t>Phoenix, AZ</t>
        </is>
      </c>
      <c r="J199" s="9" t="b">
        <v>0</v>
      </c>
      <c r="K199" s="9" t="b">
        <v>0</v>
      </c>
      <c r="L199" s="9" t="b">
        <v>0</v>
      </c>
      <c r="M199" s="9" t="b">
        <v>1</v>
      </c>
      <c r="N199" s="9" t="n">
        <v>1.98</v>
      </c>
      <c r="O199" s="9" t="n">
        <v>4.98</v>
      </c>
      <c r="P199" s="9" t="n">
        <v>3</v>
      </c>
      <c r="Q199" s="9" t="n">
        <v>14</v>
      </c>
      <c r="R199" s="9" t="inlineStr">
        <is>
          <t>https://www.namecheap.com</t>
        </is>
      </c>
      <c r="S199">
        <f>IF(M199,N199,"")</f>
        <v/>
      </c>
    </row>
    <row r="200">
      <c r="A200" s="9" t="n">
        <v>275</v>
      </c>
      <c r="B200" s="9" t="inlineStr">
        <is>
          <t>Nansen</t>
        </is>
      </c>
      <c r="C200" s="9" t="inlineStr">
        <is>
          <t>crypto-analytics</t>
        </is>
      </c>
      <c r="D200" s="9" t="inlineStr">
        <is>
          <t>Crypto Analytics</t>
        </is>
      </c>
      <c r="E200" s="9" t="n">
        <v>4.5</v>
      </c>
      <c r="F200" s="9" t="n">
        <v>4.5</v>
      </c>
      <c r="G200" s="9" t="n">
        <v/>
      </c>
      <c r="H200" s="9" t="n">
        <v>2020</v>
      </c>
      <c r="I200" s="9" t="inlineStr">
        <is>
          <t>Singapore</t>
        </is>
      </c>
      <c r="J200" s="9" t="b">
        <v>0</v>
      </c>
      <c r="K200" s="9" t="b">
        <v>0</v>
      </c>
      <c r="L200" s="9" t="b">
        <v>1</v>
      </c>
      <c r="M200" s="9" t="b">
        <v>1</v>
      </c>
      <c r="N200" s="9" t="n">
        <v>150</v>
      </c>
      <c r="O200" s="9" t="n">
        <v>500</v>
      </c>
      <c r="P200" s="9" t="n">
        <v>3</v>
      </c>
      <c r="Q200" s="9" t="n">
        <v>5</v>
      </c>
      <c r="R200" s="9" t="inlineStr">
        <is>
          <t>https://www.nansen.ai</t>
        </is>
      </c>
      <c r="S200">
        <f>IF(M200,N200,"")</f>
        <v/>
      </c>
    </row>
    <row r="201">
      <c r="A201" s="9" t="n">
        <v>78</v>
      </c>
      <c r="B201" s="9" t="inlineStr">
        <is>
          <t>Netlify</t>
        </is>
      </c>
      <c r="C201" s="9" t="inlineStr">
        <is>
          <t>cloud-hosting</t>
        </is>
      </c>
      <c r="D201" s="9" t="inlineStr">
        <is>
          <t>Cloud Hosting</t>
        </is>
      </c>
      <c r="E201" s="9" t="n">
        <v>4.55</v>
      </c>
      <c r="F201" s="9" t="n">
        <v>4.5</v>
      </c>
      <c r="G201" s="9" t="n">
        <v>4.6</v>
      </c>
      <c r="H201" s="9" t="n">
        <v>2014</v>
      </c>
      <c r="I201" s="9" t="inlineStr">
        <is>
          <t>San Francisco, CA</t>
        </is>
      </c>
      <c r="J201" s="9" t="b">
        <v>1</v>
      </c>
      <c r="K201" s="9" t="b">
        <v>0</v>
      </c>
      <c r="L201" s="9" t="b">
        <v>1</v>
      </c>
      <c r="M201" s="9" t="b">
        <v>1</v>
      </c>
      <c r="N201" s="9" t="n">
        <v>19</v>
      </c>
      <c r="O201" s="9" t="n">
        <v>19</v>
      </c>
      <c r="P201" s="9" t="n">
        <v>3</v>
      </c>
      <c r="Q201" s="9" t="n">
        <v>15</v>
      </c>
      <c r="R201" s="9" t="inlineStr">
        <is>
          <t>https://www.netlify.com</t>
        </is>
      </c>
      <c r="S201">
        <f>IF(M201,N201,"")</f>
        <v/>
      </c>
    </row>
    <row r="202">
      <c r="A202" s="9" t="n">
        <v>19</v>
      </c>
      <c r="B202" s="9" t="inlineStr">
        <is>
          <t>Nifty</t>
        </is>
      </c>
      <c r="C202" s="9" t="inlineStr">
        <is>
          <t>project-management</t>
        </is>
      </c>
      <c r="D202" s="9" t="inlineStr">
        <is>
          <t>Project Management</t>
        </is>
      </c>
      <c r="E202" s="9" t="n">
        <v>4.7</v>
      </c>
      <c r="F202" s="9" t="n">
        <v>4.7</v>
      </c>
      <c r="G202" s="9" t="n">
        <v>4.7</v>
      </c>
      <c r="H202" s="9" t="n">
        <v>2017</v>
      </c>
      <c r="I202" s="9" t="inlineStr">
        <is>
          <t>New York, NY</t>
        </is>
      </c>
      <c r="J202" s="9" t="b">
        <v>1</v>
      </c>
      <c r="K202" s="9" t="b">
        <v>0</v>
      </c>
      <c r="L202" s="9" t="b">
        <v>0</v>
      </c>
      <c r="M202" s="9" t="b">
        <v>1</v>
      </c>
      <c r="N202" s="9" t="n">
        <v>39</v>
      </c>
      <c r="O202" s="9" t="n">
        <v>399</v>
      </c>
      <c r="P202" s="9" t="n">
        <v>4</v>
      </c>
      <c r="Q202" s="9" t="n">
        <v>14</v>
      </c>
      <c r="R202" s="9" t="inlineStr">
        <is>
          <t>https://niftypm.com</t>
        </is>
      </c>
      <c r="S202">
        <f>IF(M202,N202,"")</f>
        <v/>
      </c>
    </row>
    <row r="203">
      <c r="A203" s="9" t="n">
        <v>161</v>
      </c>
      <c r="B203" s="9" t="inlineStr">
        <is>
          <t>NordPass</t>
        </is>
      </c>
      <c r="C203" s="9" t="inlineStr">
        <is>
          <t>password-managers</t>
        </is>
      </c>
      <c r="D203" s="9" t="inlineStr">
        <is>
          <t>Password Managers</t>
        </is>
      </c>
      <c r="E203" s="9" t="n">
        <v>4.4</v>
      </c>
      <c r="F203" s="9" t="n">
        <v>4.4</v>
      </c>
      <c r="G203" s="9" t="n">
        <v>4.4</v>
      </c>
      <c r="H203" s="9" t="n">
        <v>2019</v>
      </c>
      <c r="I203" s="9" t="n">
        <v/>
      </c>
      <c r="J203" s="9" t="b">
        <v>1</v>
      </c>
      <c r="K203" s="9" t="b">
        <v>0</v>
      </c>
      <c r="L203" s="9" t="b">
        <v>0</v>
      </c>
      <c r="M203" s="9" t="b">
        <v>1</v>
      </c>
      <c r="N203" s="9" t="n">
        <v>1.99</v>
      </c>
      <c r="O203" s="9" t="n">
        <v>4.99</v>
      </c>
      <c r="P203" s="9" t="n">
        <v>3</v>
      </c>
      <c r="Q203" s="9" t="n">
        <v>14</v>
      </c>
      <c r="R203" s="9" t="inlineStr">
        <is>
          <t>https://nordpass.com</t>
        </is>
      </c>
      <c r="S203">
        <f>IF(M203,N203,"")</f>
        <v/>
      </c>
    </row>
    <row r="204">
      <c r="A204" s="9" t="n">
        <v>162</v>
      </c>
      <c r="B204" s="9" t="inlineStr">
        <is>
          <t>NordVPN</t>
        </is>
      </c>
      <c r="C204" s="9" t="inlineStr">
        <is>
          <t>vpn</t>
        </is>
      </c>
      <c r="D204" s="9" t="inlineStr">
        <is>
          <t>VPN</t>
        </is>
      </c>
      <c r="E204" s="9" t="n">
        <v>4.65</v>
      </c>
      <c r="F204" s="9" t="n">
        <v>4.7</v>
      </c>
      <c r="G204" s="9" t="n">
        <v>4.6</v>
      </c>
      <c r="H204" s="9" t="n">
        <v>2012</v>
      </c>
      <c r="I204" s="9" t="n">
        <v/>
      </c>
      <c r="J204" s="9" t="b">
        <v>0</v>
      </c>
      <c r="K204" s="9" t="b">
        <v>0</v>
      </c>
      <c r="L204" s="9" t="b">
        <v>0</v>
      </c>
      <c r="M204" s="9" t="b">
        <v>1</v>
      </c>
      <c r="N204" s="9" t="n">
        <v>3.99</v>
      </c>
      <c r="O204" s="9" t="n">
        <v>6.99</v>
      </c>
      <c r="P204" s="9" t="n">
        <v>3</v>
      </c>
      <c r="Q204" s="9" t="n">
        <v>11</v>
      </c>
      <c r="R204" s="9" t="inlineStr">
        <is>
          <t>https://nordvpn.com</t>
        </is>
      </c>
      <c r="S204">
        <f>IF(M204,N204,"")</f>
        <v/>
      </c>
    </row>
    <row r="205">
      <c r="A205" s="9" t="n">
        <v>1</v>
      </c>
      <c r="B205" s="9" t="inlineStr">
        <is>
          <t>Notion</t>
        </is>
      </c>
      <c r="C205" s="9" t="inlineStr">
        <is>
          <t>project-management</t>
        </is>
      </c>
      <c r="D205" s="9" t="inlineStr">
        <is>
          <t>Project Management</t>
        </is>
      </c>
      <c r="E205" s="9" t="n">
        <v>4.7</v>
      </c>
      <c r="F205" s="9" t="n">
        <v>4.7</v>
      </c>
      <c r="G205" s="9" t="n">
        <v>4.7</v>
      </c>
      <c r="H205" s="9" t="n">
        <v>2016</v>
      </c>
      <c r="I205" s="9" t="inlineStr">
        <is>
          <t>San Francisco, CA</t>
        </is>
      </c>
      <c r="J205" s="9" t="b">
        <v>1</v>
      </c>
      <c r="K205" s="9" t="b">
        <v>0</v>
      </c>
      <c r="L205" s="9" t="b">
        <v>1</v>
      </c>
      <c r="M205" s="9" t="b">
        <v>1</v>
      </c>
      <c r="N205" s="9" t="n">
        <v>12</v>
      </c>
      <c r="O205" s="9" t="n">
        <v>18</v>
      </c>
      <c r="P205" s="9" t="n">
        <v>4</v>
      </c>
      <c r="Q205" s="9" t="n">
        <v>12</v>
      </c>
      <c r="R205" s="9" t="inlineStr">
        <is>
          <t>https://www.notion.com</t>
        </is>
      </c>
      <c r="S205">
        <f>IF(M205,N205,"")</f>
        <v/>
      </c>
    </row>
    <row r="206">
      <c r="A206" s="9" t="n">
        <v>189</v>
      </c>
      <c r="B206" s="9" t="inlineStr">
        <is>
          <t>Notion AI</t>
        </is>
      </c>
      <c r="C206" s="9" t="inlineStr">
        <is>
          <t>ai-productivity</t>
        </is>
      </c>
      <c r="D206" s="9" t="inlineStr">
        <is>
          <t>AI Productivity</t>
        </is>
      </c>
      <c r="E206" s="9" t="n">
        <v>4.55</v>
      </c>
      <c r="F206" s="9" t="n">
        <v>4.6</v>
      </c>
      <c r="G206" s="9" t="n">
        <v>4.5</v>
      </c>
      <c r="H206" s="9" t="n">
        <v>2023</v>
      </c>
      <c r="I206" s="9" t="n">
        <v/>
      </c>
      <c r="J206" s="9" t="b">
        <v>0</v>
      </c>
      <c r="K206" s="9" t="b">
        <v>0</v>
      </c>
      <c r="L206" s="9" t="b">
        <v>0</v>
      </c>
      <c r="M206" s="9" t="b">
        <v>1</v>
      </c>
      <c r="N206" s="9" t="n">
        <v>10</v>
      </c>
      <c r="O206" s="9" t="n">
        <v>10</v>
      </c>
      <c r="P206" s="9" t="n">
        <v>1</v>
      </c>
      <c r="Q206" s="9" t="n">
        <v>11</v>
      </c>
      <c r="R206" s="9" t="inlineStr">
        <is>
          <t>https://notion.so/product/ai</t>
        </is>
      </c>
      <c r="S206">
        <f>IF(M206,N206,"")</f>
        <v/>
      </c>
    </row>
    <row r="207">
      <c r="A207" s="9" t="n">
        <v>31</v>
      </c>
      <c r="B207" s="9" t="inlineStr">
        <is>
          <t>Nutshell</t>
        </is>
      </c>
      <c r="C207" s="9" t="inlineStr">
        <is>
          <t>crm</t>
        </is>
      </c>
      <c r="D207" s="9" t="inlineStr">
        <is>
          <t>CRM</t>
        </is>
      </c>
      <c r="E207" s="9" t="n">
        <v>4.3</v>
      </c>
      <c r="F207" s="9" t="n">
        <v>4.3</v>
      </c>
      <c r="G207" s="9" t="n">
        <v>4.3</v>
      </c>
      <c r="H207" s="9" t="n">
        <v>2010</v>
      </c>
      <c r="I207" s="9" t="inlineStr">
        <is>
          <t>Ann Arbor, MI</t>
        </is>
      </c>
      <c r="J207" s="9" t="b">
        <v>0</v>
      </c>
      <c r="K207" s="9" t="b">
        <v>0</v>
      </c>
      <c r="L207" s="9" t="b">
        <v>0</v>
      </c>
      <c r="M207" s="9" t="b">
        <v>1</v>
      </c>
      <c r="N207" s="9" t="n">
        <v>19</v>
      </c>
      <c r="O207" s="9" t="n">
        <v>89</v>
      </c>
      <c r="P207" s="9" t="n">
        <v>5</v>
      </c>
      <c r="Q207" s="9" t="n">
        <v>11</v>
      </c>
      <c r="R207" s="9" t="inlineStr">
        <is>
          <t>https://www.nutshell.com</t>
        </is>
      </c>
      <c r="S207">
        <f>IF(M207,N207,"")</f>
        <v/>
      </c>
    </row>
    <row r="208">
      <c r="A208" s="9" t="n">
        <v>301</v>
      </c>
      <c r="B208" s="9" t="inlineStr">
        <is>
          <t>OKX</t>
        </is>
      </c>
      <c r="C208" s="9" t="inlineStr">
        <is>
          <t>crypto-exchanges</t>
        </is>
      </c>
      <c r="D208" s="9" t="inlineStr">
        <is>
          <t>Crypto Exchanges</t>
        </is>
      </c>
      <c r="E208" s="9" t="n">
        <v>4.1</v>
      </c>
      <c r="F208" s="9" t="n">
        <v>4.1</v>
      </c>
      <c r="G208" s="9" t="n">
        <v/>
      </c>
      <c r="H208" s="9" t="n">
        <v>2017</v>
      </c>
      <c r="I208" s="9" t="inlineStr">
        <is>
          <t>Seychelles</t>
        </is>
      </c>
      <c r="J208" s="9" t="b">
        <v>1</v>
      </c>
      <c r="K208" s="9" t="b">
        <v>0</v>
      </c>
      <c r="L208" s="9" t="b">
        <v>1</v>
      </c>
      <c r="M208" s="9" t="b">
        <v>1</v>
      </c>
      <c r="N208" s="9" t="n">
        <v/>
      </c>
      <c r="O208" s="9" t="n">
        <v>0</v>
      </c>
      <c r="P208" s="9" t="n">
        <v>3</v>
      </c>
      <c r="Q208" s="9" t="n">
        <v>8</v>
      </c>
      <c r="R208" s="9" t="inlineStr">
        <is>
          <t>https://www.okx.com</t>
        </is>
      </c>
      <c r="S208">
        <f>IF(M208,N208,"")</f>
        <v/>
      </c>
    </row>
    <row r="209">
      <c r="A209" s="9" t="n">
        <v>233</v>
      </c>
      <c r="B209" s="9" t="inlineStr">
        <is>
          <t>Obviously AI</t>
        </is>
      </c>
      <c r="C209" s="9" t="inlineStr">
        <is>
          <t>ai-productivity</t>
        </is>
      </c>
      <c r="D209" s="9" t="inlineStr">
        <is>
          <t>AI Productivity</t>
        </is>
      </c>
      <c r="E209" s="9" t="n">
        <v>4.65</v>
      </c>
      <c r="F209" s="9" t="n">
        <v>4.6</v>
      </c>
      <c r="G209" s="9" t="n">
        <v>4.7</v>
      </c>
      <c r="H209" s="9" t="n">
        <v>2019</v>
      </c>
      <c r="I209" s="9" t="n">
        <v/>
      </c>
      <c r="J209" s="9" t="b">
        <v>0</v>
      </c>
      <c r="K209" s="9" t="b">
        <v>0</v>
      </c>
      <c r="L209" s="9" t="b">
        <v>1</v>
      </c>
      <c r="M209" s="9" t="b">
        <v>1</v>
      </c>
      <c r="N209" s="9" t="n">
        <v>50</v>
      </c>
      <c r="O209" s="9" t="n">
        <v>100</v>
      </c>
      <c r="P209" s="9" t="n">
        <v>3</v>
      </c>
      <c r="Q209" s="9" t="n">
        <v>5</v>
      </c>
      <c r="R209" s="9" t="inlineStr">
        <is>
          <t>https://zams.com</t>
        </is>
      </c>
      <c r="S209">
        <f>IF(M209,N209,"")</f>
        <v/>
      </c>
    </row>
    <row r="210">
      <c r="A210" s="9" t="n">
        <v>48</v>
      </c>
      <c r="B210" s="9" t="inlineStr">
        <is>
          <t>Omnisend</t>
        </is>
      </c>
      <c r="C210" s="9" t="inlineStr">
        <is>
          <t>email-marketing</t>
        </is>
      </c>
      <c r="D210" s="9" t="inlineStr">
        <is>
          <t>Email Marketing</t>
        </is>
      </c>
      <c r="E210" s="9" t="n">
        <v>4.65</v>
      </c>
      <c r="F210" s="9" t="n">
        <v>4.6</v>
      </c>
      <c r="G210" s="9" t="n">
        <v>4.7</v>
      </c>
      <c r="H210" s="9" t="n">
        <v>2014</v>
      </c>
      <c r="I210" s="9" t="inlineStr">
        <is>
          <t>London, UK / Vilnius, Lithuania</t>
        </is>
      </c>
      <c r="J210" s="9" t="b">
        <v>1</v>
      </c>
      <c r="K210" s="9" t="b">
        <v>0</v>
      </c>
      <c r="L210" s="9" t="b">
        <v>0</v>
      </c>
      <c r="M210" s="9" t="b">
        <v>1</v>
      </c>
      <c r="N210" s="9" t="n">
        <v>16</v>
      </c>
      <c r="O210" s="9" t="n">
        <v>59</v>
      </c>
      <c r="P210" s="9" t="n">
        <v>3</v>
      </c>
      <c r="Q210" s="9" t="n">
        <v>14</v>
      </c>
      <c r="R210" s="9" t="inlineStr">
        <is>
          <t>https://www.omnisend.com</t>
        </is>
      </c>
      <c r="S210">
        <f>IF(M210,N210,"")</f>
        <v/>
      </c>
    </row>
    <row r="211">
      <c r="A211" s="9" t="n">
        <v>185</v>
      </c>
      <c r="B211" s="9" t="inlineStr">
        <is>
          <t>OpenAI API</t>
        </is>
      </c>
      <c r="C211" s="9" t="inlineStr">
        <is>
          <t>llm</t>
        </is>
      </c>
      <c r="D211" s="9" t="inlineStr">
        <is>
          <t>Large Language Models</t>
        </is>
      </c>
      <c r="E211" s="9" t="n">
        <v>4.75</v>
      </c>
      <c r="F211" s="9" t="n">
        <v>4.7</v>
      </c>
      <c r="G211" s="9" t="n">
        <v>4.8</v>
      </c>
      <c r="H211" s="9" t="n">
        <v>2020</v>
      </c>
      <c r="I211" s="9" t="n">
        <v/>
      </c>
      <c r="J211" s="9" t="b">
        <v>0</v>
      </c>
      <c r="K211" s="9" t="b">
        <v>0</v>
      </c>
      <c r="L211" s="9" t="b">
        <v>0</v>
      </c>
      <c r="M211" s="9" t="b">
        <v>1</v>
      </c>
      <c r="N211" s="9" t="n">
        <v/>
      </c>
      <c r="O211" s="9" t="n">
        <v>0</v>
      </c>
      <c r="P211" s="9" t="n">
        <v>1</v>
      </c>
      <c r="Q211" s="9" t="n">
        <v>7</v>
      </c>
      <c r="R211" s="9" t="inlineStr">
        <is>
          <t>https://platform.openai.com</t>
        </is>
      </c>
      <c r="S211">
        <f>IF(M211,N211,"")</f>
        <v/>
      </c>
    </row>
    <row r="212">
      <c r="A212" s="9" t="n">
        <v>253</v>
      </c>
      <c r="B212" s="9" t="inlineStr">
        <is>
          <t>OpenAI Agents SDK</t>
        </is>
      </c>
      <c r="C212" s="9" t="inlineStr">
        <is>
          <t>ai-agents</t>
        </is>
      </c>
      <c r="D212" s="9" t="inlineStr">
        <is>
          <t>AI Agents</t>
        </is>
      </c>
      <c r="E212" s="9" t="n">
        <v>4.35</v>
      </c>
      <c r="F212" s="9" t="n">
        <v>4.4</v>
      </c>
      <c r="G212" s="9" t="n">
        <v>4.3</v>
      </c>
      <c r="H212" s="9" t="n">
        <v>2025</v>
      </c>
      <c r="I212" s="9" t="n">
        <v/>
      </c>
      <c r="J212" s="9" t="b">
        <v>1</v>
      </c>
      <c r="K212" s="9" t="b">
        <v>0</v>
      </c>
      <c r="L212" s="9" t="b">
        <v>0</v>
      </c>
      <c r="M212" s="9" t="b">
        <v>1</v>
      </c>
      <c r="N212" s="9" t="n">
        <v/>
      </c>
      <c r="O212" s="9" t="n">
        <v>0</v>
      </c>
      <c r="P212" s="9" t="n">
        <v>2</v>
      </c>
      <c r="Q212" s="9" t="n">
        <v>18</v>
      </c>
      <c r="R212" s="9" t="inlineStr">
        <is>
          <t>https://openai.com/agents</t>
        </is>
      </c>
      <c r="S212">
        <f>IF(M212,N212,"")</f>
        <v/>
      </c>
    </row>
    <row r="213">
      <c r="A213" s="9" t="n">
        <v>247</v>
      </c>
      <c r="B213" s="9" t="inlineStr">
        <is>
          <t>OpenAI o1</t>
        </is>
      </c>
      <c r="C213" s="9" t="inlineStr">
        <is>
          <t>llm</t>
        </is>
      </c>
      <c r="D213" s="9" t="inlineStr">
        <is>
          <t>Large Language Models</t>
        </is>
      </c>
      <c r="E213" s="9" t="n">
        <v>4.55</v>
      </c>
      <c r="F213" s="9" t="n">
        <v>4.6</v>
      </c>
      <c r="G213" s="9" t="n">
        <v>4.5</v>
      </c>
      <c r="H213" s="9" t="n">
        <v>2024</v>
      </c>
      <c r="I213" s="9" t="n">
        <v/>
      </c>
      <c r="J213" s="9" t="b">
        <v>0</v>
      </c>
      <c r="K213" s="9" t="b">
        <v>0</v>
      </c>
      <c r="L213" s="9" t="b">
        <v>0</v>
      </c>
      <c r="M213" s="9" t="b">
        <v>1</v>
      </c>
      <c r="N213" s="9" t="n">
        <v>20</v>
      </c>
      <c r="O213" s="9" t="n">
        <v>200</v>
      </c>
      <c r="P213" s="9" t="n">
        <v>2</v>
      </c>
      <c r="Q213" s="9" t="n">
        <v>15</v>
      </c>
      <c r="R213" s="9" t="inlineStr">
        <is>
          <t>https://openai.com/o1</t>
        </is>
      </c>
      <c r="S213">
        <f>IF(M213,N213,"")</f>
        <v/>
      </c>
    </row>
    <row r="214">
      <c r="A214" s="9" t="n">
        <v>324</v>
      </c>
      <c r="B214" s="9" t="inlineStr">
        <is>
          <t>Orca</t>
        </is>
      </c>
      <c r="C214" s="9" t="inlineStr">
        <is>
          <t>dex</t>
        </is>
      </c>
      <c r="D214" s="9" t="inlineStr">
        <is>
          <t>DEX</t>
        </is>
      </c>
      <c r="E214" s="9" t="n">
        <v/>
      </c>
      <c r="F214" s="9" t="n">
        <v/>
      </c>
      <c r="G214" s="9" t="n">
        <v/>
      </c>
      <c r="H214" s="9" t="n">
        <v>2021</v>
      </c>
      <c r="I214" s="9" t="inlineStr">
        <is>
          <t>Decentralized</t>
        </is>
      </c>
      <c r="J214" s="9" t="b">
        <v>1</v>
      </c>
      <c r="K214" s="9" t="b">
        <v>0</v>
      </c>
      <c r="L214" s="9" t="b">
        <v>0</v>
      </c>
      <c r="M214" s="9" t="b">
        <v>0</v>
      </c>
      <c r="N214" s="9" t="n">
        <v>0.01</v>
      </c>
      <c r="O214" s="9" t="n">
        <v>1</v>
      </c>
      <c r="P214" s="9" t="n">
        <v>5</v>
      </c>
      <c r="Q214" s="9" t="n">
        <v>11</v>
      </c>
      <c r="R214" s="9" t="inlineStr">
        <is>
          <t>https://www.orca.so</t>
        </is>
      </c>
      <c r="S214">
        <f>IF(M214,N214,"")</f>
        <v/>
      </c>
    </row>
    <row r="215">
      <c r="A215" s="9" t="n">
        <v>223</v>
      </c>
      <c r="B215" s="9" t="inlineStr">
        <is>
          <t>Otter.ai</t>
        </is>
      </c>
      <c r="C215" s="9" t="inlineStr">
        <is>
          <t>ai-productivity</t>
        </is>
      </c>
      <c r="D215" s="9" t="inlineStr">
        <is>
          <t>AI Productivity</t>
        </is>
      </c>
      <c r="E215" s="9" t="n">
        <v>4.35</v>
      </c>
      <c r="F215" s="9" t="n">
        <v>4.2</v>
      </c>
      <c r="G215" s="9" t="n">
        <v>4.5</v>
      </c>
      <c r="H215" s="9" t="n">
        <v>2016</v>
      </c>
      <c r="I215" s="9" t="n">
        <v/>
      </c>
      <c r="J215" s="9" t="b">
        <v>1</v>
      </c>
      <c r="K215" s="9" t="b">
        <v>0</v>
      </c>
      <c r="L215" s="9" t="b">
        <v>1</v>
      </c>
      <c r="M215" s="9" t="b">
        <v>1</v>
      </c>
      <c r="N215" s="9" t="n">
        <v>16.99</v>
      </c>
      <c r="O215" s="9" t="n">
        <v>40</v>
      </c>
      <c r="P215" s="9" t="n">
        <v>4</v>
      </c>
      <c r="Q215" s="9" t="n">
        <v>9</v>
      </c>
      <c r="R215" s="9" t="inlineStr">
        <is>
          <t>https://otter.ai</t>
        </is>
      </c>
      <c r="S215">
        <f>IF(M215,N215,"")</f>
        <v/>
      </c>
    </row>
    <row r="216">
      <c r="A216" s="9" t="n">
        <v>322</v>
      </c>
      <c r="B216" s="9" t="inlineStr">
        <is>
          <t>PancakeSwap</t>
        </is>
      </c>
      <c r="C216" s="9" t="inlineStr">
        <is>
          <t>dex</t>
        </is>
      </c>
      <c r="D216" s="9" t="inlineStr">
        <is>
          <t>DEX</t>
        </is>
      </c>
      <c r="E216" s="9" t="n">
        <v/>
      </c>
      <c r="F216" s="9" t="n">
        <v/>
      </c>
      <c r="G216" s="9" t="n">
        <v/>
      </c>
      <c r="H216" s="9" t="n">
        <v>2020</v>
      </c>
      <c r="I216" s="9" t="inlineStr">
        <is>
          <t>Decentralized</t>
        </is>
      </c>
      <c r="J216" s="9" t="b">
        <v>1</v>
      </c>
      <c r="K216" s="9" t="b">
        <v>0</v>
      </c>
      <c r="L216" s="9" t="b">
        <v>0</v>
      </c>
      <c r="M216" s="9" t="b">
        <v>0</v>
      </c>
      <c r="N216" s="9" t="n">
        <v>0.01</v>
      </c>
      <c r="O216" s="9" t="n">
        <v>1</v>
      </c>
      <c r="P216" s="9" t="n">
        <v>5</v>
      </c>
      <c r="Q216" s="9" t="n">
        <v>11</v>
      </c>
      <c r="R216" s="9" t="inlineStr">
        <is>
          <t>https://pancakeswap.finance</t>
        </is>
      </c>
      <c r="S216">
        <f>IF(M216,N216,"")</f>
        <v/>
      </c>
    </row>
    <row r="217">
      <c r="A217" s="9" t="n">
        <v>294</v>
      </c>
      <c r="B217" s="9" t="inlineStr">
        <is>
          <t>ParaSwap</t>
        </is>
      </c>
      <c r="C217" s="9" t="inlineStr">
        <is>
          <t>defi-tools</t>
        </is>
      </c>
      <c r="D217" s="9" t="inlineStr">
        <is>
          <t>DeFi Tools</t>
        </is>
      </c>
      <c r="E217" s="9" t="n">
        <v>4</v>
      </c>
      <c r="F217" s="9" t="n">
        <v>4</v>
      </c>
      <c r="G217" s="9" t="n">
        <v/>
      </c>
      <c r="H217" s="9" t="n">
        <v>2020</v>
      </c>
      <c r="I217" s="9" t="inlineStr">
        <is>
          <t>Paris, France</t>
        </is>
      </c>
      <c r="J217" s="9" t="b">
        <v>1</v>
      </c>
      <c r="K217" s="9" t="b">
        <v>0</v>
      </c>
      <c r="L217" s="9" t="b">
        <v>0</v>
      </c>
      <c r="M217" s="9" t="b">
        <v>1</v>
      </c>
      <c r="N217" s="9" t="n">
        <v/>
      </c>
      <c r="O217" s="9" t="n">
        <v>0</v>
      </c>
      <c r="P217" s="9" t="n">
        <v>1</v>
      </c>
      <c r="Q217" s="9" t="n">
        <v>8</v>
      </c>
      <c r="R217" s="9" t="inlineStr">
        <is>
          <t>https://www.paraswap.io</t>
        </is>
      </c>
      <c r="S217">
        <f>IF(M217,N217,"")</f>
        <v/>
      </c>
    </row>
    <row r="218">
      <c r="A218" s="9" t="n">
        <v>121</v>
      </c>
      <c r="B218" s="9" t="inlineStr">
        <is>
          <t>Patriot Software</t>
        </is>
      </c>
      <c r="C218" s="9" t="inlineStr">
        <is>
          <t>accounting</t>
        </is>
      </c>
      <c r="D218" s="9" t="inlineStr">
        <is>
          <t>Accounting</t>
        </is>
      </c>
      <c r="E218" s="9" t="n">
        <v>4.7</v>
      </c>
      <c r="F218" s="9" t="n">
        <v>4.6</v>
      </c>
      <c r="G218" s="9" t="n">
        <v>4.8</v>
      </c>
      <c r="H218" s="9" t="n">
        <v>2002</v>
      </c>
      <c r="I218" s="9" t="inlineStr">
        <is>
          <t>Canton, OH</t>
        </is>
      </c>
      <c r="J218" s="9" t="b">
        <v>0</v>
      </c>
      <c r="K218" s="9" t="b">
        <v>0</v>
      </c>
      <c r="L218" s="9" t="b">
        <v>0</v>
      </c>
      <c r="M218" s="9" t="b">
        <v>1</v>
      </c>
      <c r="N218" s="9" t="n">
        <v>17</v>
      </c>
      <c r="O218" s="9" t="n">
        <v>37</v>
      </c>
      <c r="P218" s="9" t="n">
        <v>4</v>
      </c>
      <c r="Q218" s="9" t="n">
        <v>11</v>
      </c>
      <c r="R218" s="9" t="inlineStr">
        <is>
          <t>https://www.patriotsoftware.com</t>
        </is>
      </c>
      <c r="S218">
        <f>IF(M218,N218,"")</f>
        <v/>
      </c>
    </row>
    <row r="219">
      <c r="A219" s="9" t="n">
        <v>96</v>
      </c>
      <c r="B219" s="9" t="inlineStr">
        <is>
          <t>Penpot</t>
        </is>
      </c>
      <c r="C219" s="9" t="inlineStr">
        <is>
          <t>design-tools</t>
        </is>
      </c>
      <c r="D219" s="9" t="inlineStr">
        <is>
          <t>Design Tools</t>
        </is>
      </c>
      <c r="E219" s="9" t="n">
        <v>4.35</v>
      </c>
      <c r="F219" s="9" t="n">
        <v>4.3</v>
      </c>
      <c r="G219" s="9" t="n">
        <v>4.4</v>
      </c>
      <c r="H219" s="9" t="n">
        <v>2019</v>
      </c>
      <c r="I219" s="9" t="inlineStr">
        <is>
          <t>Madrid, Spain</t>
        </is>
      </c>
      <c r="J219" s="9" t="b">
        <v>1</v>
      </c>
      <c r="K219" s="9" t="b">
        <v>0</v>
      </c>
      <c r="L219" s="9" t="b">
        <v>1</v>
      </c>
      <c r="M219" s="9" t="b">
        <v>1</v>
      </c>
      <c r="N219" s="9" t="n">
        <v/>
      </c>
      <c r="O219" s="9" t="n">
        <v>0</v>
      </c>
      <c r="P219" s="9" t="n">
        <v>3</v>
      </c>
      <c r="Q219" s="9" t="n">
        <v>9</v>
      </c>
      <c r="R219" s="9" t="inlineStr">
        <is>
          <t>https://penpot.app</t>
        </is>
      </c>
      <c r="S219">
        <f>IF(M219,N219,"")</f>
        <v/>
      </c>
    </row>
    <row r="220">
      <c r="A220" s="9" t="n">
        <v>312</v>
      </c>
      <c r="B220" s="9" t="inlineStr">
        <is>
          <t>PepeBoost</t>
        </is>
      </c>
      <c r="C220" s="9" t="inlineStr">
        <is>
          <t>crypto-telegram-bots</t>
        </is>
      </c>
      <c r="D220" s="9" t="inlineStr">
        <is>
          <t>Crypto Telegram Bots</t>
        </is>
      </c>
      <c r="E220" s="9" t="n">
        <v>4</v>
      </c>
      <c r="F220" s="9" t="n">
        <v>4</v>
      </c>
      <c r="G220" s="9" t="n">
        <v/>
      </c>
      <c r="H220" s="9" t="n">
        <v>2024</v>
      </c>
      <c r="I220" s="9" t="inlineStr">
        <is>
          <t>Unknown</t>
        </is>
      </c>
      <c r="J220" s="9" t="b">
        <v>1</v>
      </c>
      <c r="K220" s="9" t="b">
        <v>0</v>
      </c>
      <c r="L220" s="9" t="b">
        <v>0</v>
      </c>
      <c r="M220" s="9" t="b">
        <v>1</v>
      </c>
      <c r="N220" s="9" t="n">
        <v/>
      </c>
      <c r="O220" s="9" t="n">
        <v>0</v>
      </c>
      <c r="P220" s="9" t="n">
        <v>1</v>
      </c>
      <c r="Q220" s="9" t="n">
        <v>10</v>
      </c>
      <c r="R220" s="9" t="inlineStr">
        <is>
          <t>https://pepeboost.io</t>
        </is>
      </c>
      <c r="S220">
        <f>IF(M220,N220,"")</f>
        <v/>
      </c>
    </row>
    <row r="221">
      <c r="A221" s="9" t="n">
        <v>184</v>
      </c>
      <c r="B221" s="9" t="inlineStr">
        <is>
          <t>Perplexity AI</t>
        </is>
      </c>
      <c r="C221" s="9" t="inlineStr">
        <is>
          <t>ai-productivity</t>
        </is>
      </c>
      <c r="D221" s="9" t="inlineStr">
        <is>
          <t>AI Productivity</t>
        </is>
      </c>
      <c r="E221" s="9" t="n">
        <v>4.55</v>
      </c>
      <c r="F221" s="9" t="n">
        <v>4.6</v>
      </c>
      <c r="G221" s="9" t="n">
        <v>4.5</v>
      </c>
      <c r="H221" s="9" t="n">
        <v>2022</v>
      </c>
      <c r="I221" s="9" t="n">
        <v/>
      </c>
      <c r="J221" s="9" t="b">
        <v>1</v>
      </c>
      <c r="K221" s="9" t="b">
        <v>0</v>
      </c>
      <c r="L221" s="9" t="b">
        <v>0</v>
      </c>
      <c r="M221" s="9" t="b">
        <v>1</v>
      </c>
      <c r="N221" s="9" t="n">
        <v>20</v>
      </c>
      <c r="O221" s="9" t="n">
        <v>20</v>
      </c>
      <c r="P221" s="9" t="n">
        <v>2</v>
      </c>
      <c r="Q221" s="9" t="n">
        <v>7</v>
      </c>
      <c r="R221" s="9" t="inlineStr">
        <is>
          <t>https://perplexity.ai</t>
        </is>
      </c>
      <c r="S221">
        <f>IF(M221,N221,"")</f>
        <v/>
      </c>
    </row>
    <row r="222">
      <c r="A222" s="9" t="n">
        <v>314</v>
      </c>
      <c r="B222" s="9" t="inlineStr">
        <is>
          <t>Phantom</t>
        </is>
      </c>
      <c r="C222" s="9" t="inlineStr">
        <is>
          <t>crypto-wallets</t>
        </is>
      </c>
      <c r="D222" s="9" t="inlineStr">
        <is>
          <t>Crypto Wallets</t>
        </is>
      </c>
      <c r="E222" s="9" t="n">
        <v>4.6</v>
      </c>
      <c r="F222" s="9" t="n">
        <v>4.6</v>
      </c>
      <c r="G222" s="9" t="n">
        <v/>
      </c>
      <c r="H222" s="9" t="n">
        <v>2021</v>
      </c>
      <c r="I222" s="9" t="inlineStr">
        <is>
          <t>San Francisco, USA</t>
        </is>
      </c>
      <c r="J222" s="9" t="b">
        <v>1</v>
      </c>
      <c r="K222" s="9" t="b">
        <v>0</v>
      </c>
      <c r="L222" s="9" t="b">
        <v>0</v>
      </c>
      <c r="M222" s="9" t="b">
        <v>1</v>
      </c>
      <c r="N222" s="9" t="n">
        <v/>
      </c>
      <c r="O222" s="9" t="n">
        <v>0</v>
      </c>
      <c r="P222" s="9" t="n">
        <v>1</v>
      </c>
      <c r="Q222" s="9" t="n">
        <v>9</v>
      </c>
      <c r="R222" s="9" t="inlineStr">
        <is>
          <t>https://phantom.app</t>
        </is>
      </c>
      <c r="S222">
        <f>IF(M222,N222,"")</f>
        <v/>
      </c>
    </row>
    <row r="223">
      <c r="A223" s="9" t="n">
        <v>249</v>
      </c>
      <c r="B223" s="9" t="inlineStr">
        <is>
          <t>Phi-3</t>
        </is>
      </c>
      <c r="C223" s="9" t="inlineStr">
        <is>
          <t>llm</t>
        </is>
      </c>
      <c r="D223" s="9" t="inlineStr">
        <is>
          <t>Large Language Models</t>
        </is>
      </c>
      <c r="E223" s="9" t="n">
        <v>4</v>
      </c>
      <c r="F223" s="9" t="n">
        <v>4</v>
      </c>
      <c r="G223" s="9" t="n">
        <v>4</v>
      </c>
      <c r="H223" s="9" t="n">
        <v>2024</v>
      </c>
      <c r="I223" s="9" t="n">
        <v/>
      </c>
      <c r="J223" s="9" t="b">
        <v>1</v>
      </c>
      <c r="K223" s="9" t="b">
        <v>0</v>
      </c>
      <c r="L223" s="9" t="b">
        <v>0</v>
      </c>
      <c r="M223" s="9" t="b">
        <v>1</v>
      </c>
      <c r="N223" s="9" t="n">
        <v/>
      </c>
      <c r="O223" s="9" t="n">
        <v>0</v>
      </c>
      <c r="P223" s="9" t="n">
        <v>2</v>
      </c>
      <c r="Q223" s="9" t="n">
        <v>16</v>
      </c>
      <c r="R223" s="9" t="inlineStr">
        <is>
          <t>https://azure.microsoft.com/products/phi</t>
        </is>
      </c>
      <c r="S223">
        <f>IF(M223,N223,"")</f>
        <v/>
      </c>
    </row>
    <row r="224">
      <c r="A224" s="9" t="n">
        <v>209</v>
      </c>
      <c r="B224" s="9" t="inlineStr">
        <is>
          <t>Phind</t>
        </is>
      </c>
      <c r="C224" s="9" t="inlineStr">
        <is>
          <t>ai-coding</t>
        </is>
      </c>
      <c r="D224" s="9" t="inlineStr">
        <is>
          <t>AI Coding</t>
        </is>
      </c>
      <c r="E224" s="9" t="n">
        <v>4.45</v>
      </c>
      <c r="F224" s="9" t="n">
        <v>4.5</v>
      </c>
      <c r="G224" s="9" t="n">
        <v>4.4</v>
      </c>
      <c r="H224" s="9" t="n">
        <v>2022</v>
      </c>
      <c r="I224" s="9" t="n">
        <v/>
      </c>
      <c r="J224" s="9" t="b">
        <v>1</v>
      </c>
      <c r="K224" s="9" t="b">
        <v>0</v>
      </c>
      <c r="L224" s="9" t="b">
        <v>0</v>
      </c>
      <c r="M224" s="9" t="b">
        <v>1</v>
      </c>
      <c r="N224" s="9" t="n">
        <v>17</v>
      </c>
      <c r="O224" s="9" t="n">
        <v>17</v>
      </c>
      <c r="P224" s="9" t="n">
        <v>2</v>
      </c>
      <c r="Q224" s="9" t="n">
        <v>7</v>
      </c>
      <c r="R224" s="9" t="inlineStr">
        <is>
          <t>https://phind.com</t>
        </is>
      </c>
      <c r="S224">
        <f>IF(M224,N224,"")</f>
        <v/>
      </c>
    </row>
    <row r="225">
      <c r="A225" s="9" t="n">
        <v>309</v>
      </c>
      <c r="B225" s="9" t="inlineStr">
        <is>
          <t>Photon</t>
        </is>
      </c>
      <c r="C225" s="9" t="inlineStr">
        <is>
          <t>crypto-telegram-bots</t>
        </is>
      </c>
      <c r="D225" s="9" t="inlineStr">
        <is>
          <t>Crypto Telegram Bots</t>
        </is>
      </c>
      <c r="E225" s="9" t="n">
        <v>4.4</v>
      </c>
      <c r="F225" s="9" t="n">
        <v>4.4</v>
      </c>
      <c r="G225" s="9" t="n">
        <v/>
      </c>
      <c r="H225" s="9" t="n">
        <v>2024</v>
      </c>
      <c r="I225" s="9" t="inlineStr">
        <is>
          <t>Unknown</t>
        </is>
      </c>
      <c r="J225" s="9" t="b">
        <v>1</v>
      </c>
      <c r="K225" s="9" t="b">
        <v>0</v>
      </c>
      <c r="L225" s="9" t="b">
        <v>0</v>
      </c>
      <c r="M225" s="9" t="b">
        <v>1</v>
      </c>
      <c r="N225" s="9" t="n">
        <v/>
      </c>
      <c r="O225" s="9" t="n">
        <v>0</v>
      </c>
      <c r="P225" s="9" t="n">
        <v>2</v>
      </c>
      <c r="Q225" s="9" t="n">
        <v>6</v>
      </c>
      <c r="R225" s="9" t="inlineStr">
        <is>
          <t>https://photon-sol.tinyastro.io</t>
        </is>
      </c>
      <c r="S225">
        <f>IF(M225,N225,"")</f>
        <v/>
      </c>
    </row>
    <row r="226">
      <c r="A226" s="9" t="n">
        <v>175</v>
      </c>
      <c r="B226" s="9" t="inlineStr">
        <is>
          <t>Pika</t>
        </is>
      </c>
      <c r="C226" s="9" t="inlineStr">
        <is>
          <t>ai-video</t>
        </is>
      </c>
      <c r="D226" s="9" t="inlineStr">
        <is>
          <t>AI Video</t>
        </is>
      </c>
      <c r="E226" s="9" t="n">
        <v>4.35</v>
      </c>
      <c r="F226" s="9" t="n">
        <v>4.4</v>
      </c>
      <c r="G226" s="9" t="n">
        <v>4.3</v>
      </c>
      <c r="H226" s="9" t="n">
        <v>2023</v>
      </c>
      <c r="I226" s="9" t="n">
        <v/>
      </c>
      <c r="J226" s="9" t="b">
        <v>1</v>
      </c>
      <c r="K226" s="9" t="b">
        <v>0</v>
      </c>
      <c r="L226" s="9" t="b">
        <v>0</v>
      </c>
      <c r="M226" s="9" t="b">
        <v>1</v>
      </c>
      <c r="N226" s="9" t="n">
        <v>8</v>
      </c>
      <c r="O226" s="9" t="n">
        <v>76</v>
      </c>
      <c r="P226" s="9" t="n">
        <v>4</v>
      </c>
      <c r="Q226" s="9" t="n">
        <v>4</v>
      </c>
      <c r="R226" s="9" t="inlineStr">
        <is>
          <t>https://pika.art</t>
        </is>
      </c>
      <c r="S226">
        <f>IF(M226,N226,"")</f>
        <v/>
      </c>
    </row>
    <row r="227">
      <c r="A227" s="9" t="n">
        <v>267</v>
      </c>
      <c r="B227" s="9" t="inlineStr">
        <is>
          <t>Pionex</t>
        </is>
      </c>
      <c r="C227" s="9" t="inlineStr">
        <is>
          <t>crypto-trading-bots</t>
        </is>
      </c>
      <c r="D227" s="9" t="inlineStr">
        <is>
          <t>Crypto Trading Bots</t>
        </is>
      </c>
      <c r="E227" s="9" t="n">
        <v>4.3</v>
      </c>
      <c r="F227" s="9" t="n">
        <v>4.3</v>
      </c>
      <c r="G227" s="9" t="n">
        <v/>
      </c>
      <c r="H227" s="9" t="n">
        <v>2019</v>
      </c>
      <c r="I227" s="9" t="inlineStr">
        <is>
          <t>Singapore</t>
        </is>
      </c>
      <c r="J227" s="9" t="b">
        <v>1</v>
      </c>
      <c r="K227" s="9" t="b">
        <v>0</v>
      </c>
      <c r="L227" s="9" t="b">
        <v>0</v>
      </c>
      <c r="M227" s="9" t="b">
        <v>1</v>
      </c>
      <c r="N227" s="9" t="n">
        <v>96</v>
      </c>
      <c r="O227" s="9" t="n">
        <v>96</v>
      </c>
      <c r="P227" s="9" t="n">
        <v>2</v>
      </c>
      <c r="Q227" s="9" t="n">
        <v>7</v>
      </c>
      <c r="R227" s="9" t="inlineStr">
        <is>
          <t>https://www.pionex.com</t>
        </is>
      </c>
      <c r="S227">
        <f>IF(M227,N227,"")</f>
        <v/>
      </c>
    </row>
    <row r="228">
      <c r="A228" s="9" t="n">
        <v>23</v>
      </c>
      <c r="B228" s="9" t="inlineStr">
        <is>
          <t>Pipedrive</t>
        </is>
      </c>
      <c r="C228" s="9" t="inlineStr">
        <is>
          <t>crm</t>
        </is>
      </c>
      <c r="D228" s="9" t="inlineStr">
        <is>
          <t>CRM</t>
        </is>
      </c>
      <c r="E228" s="9" t="n">
        <v>4.4</v>
      </c>
      <c r="F228" s="9" t="n">
        <v>4.3</v>
      </c>
      <c r="G228" s="9" t="n">
        <v>4.5</v>
      </c>
      <c r="H228" s="9" t="n">
        <v>2010</v>
      </c>
      <c r="I228" s="9" t="inlineStr">
        <is>
          <t>Tallinn, Estonia</t>
        </is>
      </c>
      <c r="J228" s="9" t="b">
        <v>0</v>
      </c>
      <c r="K228" s="9" t="b">
        <v>0</v>
      </c>
      <c r="L228" s="9" t="b">
        <v>0</v>
      </c>
      <c r="M228" s="9" t="b">
        <v>1</v>
      </c>
      <c r="N228" s="9" t="n">
        <v>14</v>
      </c>
      <c r="O228" s="9" t="n">
        <v>99</v>
      </c>
      <c r="P228" s="9" t="n">
        <v>5</v>
      </c>
      <c r="Q228" s="9" t="n">
        <v>10</v>
      </c>
      <c r="R228" s="9" t="inlineStr">
        <is>
          <t>https://www.pipedrive.com</t>
        </is>
      </c>
      <c r="S228">
        <f>IF(M228,N228,"")</f>
        <v/>
      </c>
    </row>
    <row r="229">
      <c r="A229" s="9" t="n">
        <v>102</v>
      </c>
      <c r="B229" s="9" t="inlineStr">
        <is>
          <t>Pixlr</t>
        </is>
      </c>
      <c r="C229" s="9" t="inlineStr">
        <is>
          <t>design-tools</t>
        </is>
      </c>
      <c r="D229" s="9" t="inlineStr">
        <is>
          <t>Design Tools</t>
        </is>
      </c>
      <c r="E229" s="9" t="n">
        <v>4.4</v>
      </c>
      <c r="F229" s="9" t="n">
        <v>4.3</v>
      </c>
      <c r="G229" s="9" t="n">
        <v>4.5</v>
      </c>
      <c r="H229" s="9" t="n">
        <v>2008</v>
      </c>
      <c r="I229" s="9" t="inlineStr">
        <is>
          <t>Cyberjaya, Malaysia (123RF)</t>
        </is>
      </c>
      <c r="J229" s="9" t="b">
        <v>1</v>
      </c>
      <c r="K229" s="9" t="b">
        <v>0</v>
      </c>
      <c r="L229" s="9" t="b">
        <v>0</v>
      </c>
      <c r="M229" s="9" t="b">
        <v>1</v>
      </c>
      <c r="N229" s="9" t="n">
        <v>1.99</v>
      </c>
      <c r="O229" s="9" t="n">
        <v>12.99</v>
      </c>
      <c r="P229" s="9" t="n">
        <v>4</v>
      </c>
      <c r="Q229" s="9" t="n">
        <v>4</v>
      </c>
      <c r="R229" s="9" t="inlineStr">
        <is>
          <t>https://pixlr.com</t>
        </is>
      </c>
      <c r="S229">
        <f>IF(M229,N229,"")</f>
        <v/>
      </c>
    </row>
    <row r="230">
      <c r="A230" s="9" t="n">
        <v>181</v>
      </c>
      <c r="B230" s="9" t="inlineStr">
        <is>
          <t>Play.ht</t>
        </is>
      </c>
      <c r="C230" s="9" t="inlineStr">
        <is>
          <t>ai-voice</t>
        </is>
      </c>
      <c r="D230" s="9" t="inlineStr">
        <is>
          <t>AI Voice &amp; Audio</t>
        </is>
      </c>
      <c r="E230" s="9" t="n">
        <v>4.45</v>
      </c>
      <c r="F230" s="9" t="n">
        <v>4.5</v>
      </c>
      <c r="G230" s="9" t="n">
        <v>4.4</v>
      </c>
      <c r="H230" s="9" t="n">
        <v>2019</v>
      </c>
      <c r="I230" s="9" t="n">
        <v/>
      </c>
      <c r="J230" s="9" t="b">
        <v>1</v>
      </c>
      <c r="K230" s="9" t="b">
        <v>0</v>
      </c>
      <c r="L230" s="9" t="b">
        <v>0</v>
      </c>
      <c r="M230" s="9" t="b">
        <v>1</v>
      </c>
      <c r="N230" s="9" t="n">
        <v>39</v>
      </c>
      <c r="O230" s="9" t="n">
        <v>99</v>
      </c>
      <c r="P230" s="9" t="n">
        <v>3</v>
      </c>
      <c r="Q230" s="9" t="n">
        <v>7</v>
      </c>
      <c r="R230" s="9" t="inlineStr">
        <is>
          <t>https://play.ht</t>
        </is>
      </c>
      <c r="S230">
        <f>IF(M230,N230,"")</f>
        <v/>
      </c>
    </row>
    <row r="231">
      <c r="A231" s="9" t="n">
        <v>194</v>
      </c>
      <c r="B231" s="9" t="inlineStr">
        <is>
          <t>ProWritingAid</t>
        </is>
      </c>
      <c r="C231" s="9" t="inlineStr">
        <is>
          <t>ai-writing</t>
        </is>
      </c>
      <c r="D231" s="9" t="inlineStr">
        <is>
          <t>AI Writing</t>
        </is>
      </c>
      <c r="E231" s="9" t="n">
        <v>4.55</v>
      </c>
      <c r="F231" s="9" t="n">
        <v>4.5</v>
      </c>
      <c r="G231" s="9" t="n">
        <v>4.6</v>
      </c>
      <c r="H231" s="9" t="n">
        <v>2012</v>
      </c>
      <c r="I231" s="9" t="n">
        <v/>
      </c>
      <c r="J231" s="9" t="b">
        <v>1</v>
      </c>
      <c r="K231" s="9" t="b">
        <v>0</v>
      </c>
      <c r="L231" s="9" t="b">
        <v>0</v>
      </c>
      <c r="M231" s="9" t="b">
        <v>1</v>
      </c>
      <c r="N231" s="9" t="n">
        <v>10</v>
      </c>
      <c r="O231" s="9" t="n">
        <v>12</v>
      </c>
      <c r="P231" s="9" t="n">
        <v>3</v>
      </c>
      <c r="Q231" s="9" t="n">
        <v>4</v>
      </c>
      <c r="R231" s="9" t="inlineStr">
        <is>
          <t>https://prowritingaid.com</t>
        </is>
      </c>
      <c r="S231">
        <f>IF(M231,N231,"")</f>
        <v/>
      </c>
    </row>
    <row r="232">
      <c r="A232" s="9" t="n">
        <v>101</v>
      </c>
      <c r="B232" s="9" t="inlineStr">
        <is>
          <t>Procreate</t>
        </is>
      </c>
      <c r="C232" s="9" t="inlineStr">
        <is>
          <t>design-tools</t>
        </is>
      </c>
      <c r="D232" s="9" t="inlineStr">
        <is>
          <t>Design Tools</t>
        </is>
      </c>
      <c r="E232" s="9" t="n">
        <v>4.7</v>
      </c>
      <c r="F232" s="9" t="n">
        <v>4.6</v>
      </c>
      <c r="G232" s="9" t="n">
        <v>4.8</v>
      </c>
      <c r="H232" s="9" t="n">
        <v>2011</v>
      </c>
      <c r="I232" s="9" t="inlineStr">
        <is>
          <t>Hobart, Australia</t>
        </is>
      </c>
      <c r="J232" s="9" t="b">
        <v>0</v>
      </c>
      <c r="K232" s="9" t="b">
        <v>0</v>
      </c>
      <c r="L232" s="9" t="b">
        <v>0</v>
      </c>
      <c r="M232" s="9" t="b">
        <v>1</v>
      </c>
      <c r="N232" s="9" t="n">
        <v>12.99</v>
      </c>
      <c r="O232" s="9" t="n">
        <v>19.99</v>
      </c>
      <c r="P232" s="9" t="n">
        <v>2</v>
      </c>
      <c r="Q232" s="9" t="n">
        <v>5</v>
      </c>
      <c r="R232" s="9" t="inlineStr">
        <is>
          <t>https://procreate.com</t>
        </is>
      </c>
      <c r="S232">
        <f>IF(M232,N232,"")</f>
        <v/>
      </c>
    </row>
    <row r="233">
      <c r="A233" s="9" t="n">
        <v>165</v>
      </c>
      <c r="B233" s="9" t="inlineStr">
        <is>
          <t>ProtonVPN</t>
        </is>
      </c>
      <c r="C233" s="9" t="inlineStr">
        <is>
          <t>vpn</t>
        </is>
      </c>
      <c r="D233" s="9" t="inlineStr">
        <is>
          <t>VPN</t>
        </is>
      </c>
      <c r="E233" s="9" t="n">
        <v>4.55</v>
      </c>
      <c r="F233" s="9" t="n">
        <v>4.5</v>
      </c>
      <c r="G233" s="9" t="n">
        <v>4.6</v>
      </c>
      <c r="H233" s="9" t="n">
        <v>2017</v>
      </c>
      <c r="I233" s="9" t="n">
        <v/>
      </c>
      <c r="J233" s="9" t="b">
        <v>1</v>
      </c>
      <c r="K233" s="9" t="b">
        <v>0</v>
      </c>
      <c r="L233" s="9" t="b">
        <v>0</v>
      </c>
      <c r="M233" s="9" t="b">
        <v>1</v>
      </c>
      <c r="N233" s="9" t="n">
        <v>4.99</v>
      </c>
      <c r="O233" s="9" t="n">
        <v>4.99</v>
      </c>
      <c r="P233" s="9" t="n">
        <v>2</v>
      </c>
      <c r="Q233" s="9" t="n">
        <v>10</v>
      </c>
      <c r="R233" s="9" t="inlineStr">
        <is>
          <t>https://protonvpn.com</t>
        </is>
      </c>
      <c r="S233">
        <f>IF(M233,N233,"")</f>
        <v/>
      </c>
    </row>
    <row r="234">
      <c r="A234" s="9" t="n">
        <v>107</v>
      </c>
      <c r="B234" s="9" t="inlineStr">
        <is>
          <t>QuickBooks Online</t>
        </is>
      </c>
      <c r="C234" s="9" t="inlineStr">
        <is>
          <t>accounting</t>
        </is>
      </c>
      <c r="D234" s="9" t="inlineStr">
        <is>
          <t>Accounting</t>
        </is>
      </c>
      <c r="E234" s="9" t="n">
        <v>4.15</v>
      </c>
      <c r="F234" s="9" t="n">
        <v>4</v>
      </c>
      <c r="G234" s="9" t="n">
        <v>4.3</v>
      </c>
      <c r="H234" s="9" t="n">
        <v>1983</v>
      </c>
      <c r="I234" s="9" t="inlineStr">
        <is>
          <t>Mountain View, CA (Intuit)</t>
        </is>
      </c>
      <c r="J234" s="9" t="b">
        <v>0</v>
      </c>
      <c r="K234" s="9" t="b">
        <v>0</v>
      </c>
      <c r="L234" s="9" t="b">
        <v>0</v>
      </c>
      <c r="M234" s="9" t="b">
        <v>1</v>
      </c>
      <c r="N234" s="9" t="n">
        <v>38</v>
      </c>
      <c r="O234" s="9" t="n">
        <v>275</v>
      </c>
      <c r="P234" s="9" t="n">
        <v>4</v>
      </c>
      <c r="Q234" s="9" t="n">
        <v>16</v>
      </c>
      <c r="R234" s="9" t="inlineStr">
        <is>
          <t>https://quickbooks.intuit.com</t>
        </is>
      </c>
      <c r="S234">
        <f>IF(M234,N234,"")</f>
        <v/>
      </c>
    </row>
    <row r="235">
      <c r="A235" s="9" t="n">
        <v>192</v>
      </c>
      <c r="B235" s="9" t="inlineStr">
        <is>
          <t>QuillBot</t>
        </is>
      </c>
      <c r="C235" s="9" t="inlineStr">
        <is>
          <t>ai-writing</t>
        </is>
      </c>
      <c r="D235" s="9" t="inlineStr">
        <is>
          <t>AI Writing</t>
        </is>
      </c>
      <c r="E235" s="9" t="n">
        <v>4.65</v>
      </c>
      <c r="F235" s="9" t="n">
        <v>4.6</v>
      </c>
      <c r="G235" s="9" t="n">
        <v>4.7</v>
      </c>
      <c r="H235" s="9" t="n">
        <v>2017</v>
      </c>
      <c r="I235" s="9" t="n">
        <v/>
      </c>
      <c r="J235" s="9" t="b">
        <v>1</v>
      </c>
      <c r="K235" s="9" t="b">
        <v>0</v>
      </c>
      <c r="L235" s="9" t="b">
        <v>0</v>
      </c>
      <c r="M235" s="9" t="b">
        <v>1</v>
      </c>
      <c r="N235" s="9" t="n">
        <v>13</v>
      </c>
      <c r="O235" s="9" t="n">
        <v>13</v>
      </c>
      <c r="P235" s="9" t="n">
        <v>2</v>
      </c>
      <c r="Q235" s="9" t="n">
        <v>8</v>
      </c>
      <c r="R235" s="9" t="inlineStr">
        <is>
          <t>https://quillbot.com</t>
        </is>
      </c>
      <c r="S235">
        <f>IF(M235,N235,"")</f>
        <v/>
      </c>
    </row>
    <row r="236">
      <c r="A236" s="9" t="n">
        <v>319</v>
      </c>
      <c r="B236" s="9" t="inlineStr">
        <is>
          <t>Rabby Wallet</t>
        </is>
      </c>
      <c r="C236" s="9" t="inlineStr">
        <is>
          <t>crypto-wallets</t>
        </is>
      </c>
      <c r="D236" s="9" t="inlineStr">
        <is>
          <t>Crypto Wallets</t>
        </is>
      </c>
      <c r="E236" s="9" t="n">
        <v>4.4</v>
      </c>
      <c r="F236" s="9" t="n">
        <v>4.4</v>
      </c>
      <c r="G236" s="9" t="n">
        <v/>
      </c>
      <c r="H236" s="9" t="n">
        <v>2022</v>
      </c>
      <c r="I236" s="9" t="inlineStr">
        <is>
          <t>Unknown (DeBank)</t>
        </is>
      </c>
      <c r="J236" s="9" t="b">
        <v>1</v>
      </c>
      <c r="K236" s="9" t="b">
        <v>0</v>
      </c>
      <c r="L236" s="9" t="b">
        <v>0</v>
      </c>
      <c r="M236" s="9" t="b">
        <v>1</v>
      </c>
      <c r="N236" s="9" t="n">
        <v/>
      </c>
      <c r="O236" s="9" t="n">
        <v>0</v>
      </c>
      <c r="P236" s="9" t="n">
        <v>1</v>
      </c>
      <c r="Q236" s="9" t="n">
        <v>13</v>
      </c>
      <c r="R236" s="9" t="inlineStr">
        <is>
          <t>https://rabby.io</t>
        </is>
      </c>
      <c r="S236">
        <f>IF(M236,N236,"")</f>
        <v/>
      </c>
    </row>
    <row r="237">
      <c r="A237" s="9" t="n">
        <v>80</v>
      </c>
      <c r="B237" s="9" t="inlineStr">
        <is>
          <t>Railway</t>
        </is>
      </c>
      <c r="C237" s="9" t="inlineStr">
        <is>
          <t>cloud-hosting</t>
        </is>
      </c>
      <c r="D237" s="9" t="inlineStr">
        <is>
          <t>Cloud Hosting</t>
        </is>
      </c>
      <c r="E237" s="9" t="n">
        <v>4.65</v>
      </c>
      <c r="F237" s="9" t="n">
        <v>4.6</v>
      </c>
      <c r="G237" s="9" t="n">
        <v>4.7</v>
      </c>
      <c r="H237" s="9" t="n">
        <v>2020</v>
      </c>
      <c r="I237" s="9" t="inlineStr">
        <is>
          <t>San Francisco, CA</t>
        </is>
      </c>
      <c r="J237" s="9" t="b">
        <v>1</v>
      </c>
      <c r="K237" s="9" t="b">
        <v>0</v>
      </c>
      <c r="L237" s="9" t="b">
        <v>1</v>
      </c>
      <c r="M237" s="9" t="b">
        <v>1</v>
      </c>
      <c r="N237" s="9" t="n">
        <v>5</v>
      </c>
      <c r="O237" s="9" t="n">
        <v>20</v>
      </c>
      <c r="P237" s="9" t="n">
        <v>4</v>
      </c>
      <c r="Q237" s="9" t="n">
        <v>13</v>
      </c>
      <c r="R237" s="9" t="inlineStr">
        <is>
          <t>https://railway.app</t>
        </is>
      </c>
      <c r="S237">
        <f>IF(M237,N237,"")</f>
        <v/>
      </c>
    </row>
    <row r="238">
      <c r="A238" s="9" t="n">
        <v>323</v>
      </c>
      <c r="B238" s="9" t="inlineStr">
        <is>
          <t>Raydium</t>
        </is>
      </c>
      <c r="C238" s="9" t="inlineStr">
        <is>
          <t>dex</t>
        </is>
      </c>
      <c r="D238" s="9" t="inlineStr">
        <is>
          <t>DEX</t>
        </is>
      </c>
      <c r="E238" s="9" t="n">
        <v/>
      </c>
      <c r="F238" s="9" t="n">
        <v/>
      </c>
      <c r="G238" s="9" t="n">
        <v/>
      </c>
      <c r="H238" s="9" t="n">
        <v>2021</v>
      </c>
      <c r="I238" s="9" t="inlineStr">
        <is>
          <t>Decentralized</t>
        </is>
      </c>
      <c r="J238" s="9" t="b">
        <v>1</v>
      </c>
      <c r="K238" s="9" t="b">
        <v>0</v>
      </c>
      <c r="L238" s="9" t="b">
        <v>0</v>
      </c>
      <c r="M238" s="9" t="b">
        <v>0</v>
      </c>
      <c r="N238" s="9" t="n">
        <v>0.01</v>
      </c>
      <c r="O238" s="9" t="n">
        <v>1</v>
      </c>
      <c r="P238" s="9" t="n">
        <v>5</v>
      </c>
      <c r="Q238" s="9" t="n">
        <v>11</v>
      </c>
      <c r="R238" s="9" t="inlineStr">
        <is>
          <t>https://raydium.io</t>
        </is>
      </c>
      <c r="S238">
        <f>IF(M238,N238,"")</f>
        <v/>
      </c>
    </row>
    <row r="239">
      <c r="A239" s="9" t="n">
        <v>254</v>
      </c>
      <c r="B239" s="9" t="inlineStr">
        <is>
          <t>Relevance AI</t>
        </is>
      </c>
      <c r="C239" s="9" t="inlineStr">
        <is>
          <t>ai-agents</t>
        </is>
      </c>
      <c r="D239" s="9" t="inlineStr">
        <is>
          <t>AI Agents</t>
        </is>
      </c>
      <c r="E239" s="9" t="n">
        <v>4.45</v>
      </c>
      <c r="F239" s="9" t="n">
        <v>4.5</v>
      </c>
      <c r="G239" s="9" t="n">
        <v>4.4</v>
      </c>
      <c r="H239" s="9" t="n">
        <v>2023</v>
      </c>
      <c r="I239" s="9" t="n">
        <v/>
      </c>
      <c r="J239" s="9" t="b">
        <v>1</v>
      </c>
      <c r="K239" s="9" t="b">
        <v>0</v>
      </c>
      <c r="L239" s="9" t="b">
        <v>0</v>
      </c>
      <c r="M239" s="9" t="b">
        <v>1</v>
      </c>
      <c r="N239" s="9" t="n">
        <v>19</v>
      </c>
      <c r="O239" s="9" t="n">
        <v>199</v>
      </c>
      <c r="P239" s="9" t="n">
        <v>3</v>
      </c>
      <c r="Q239" s="9" t="n">
        <v>15</v>
      </c>
      <c r="R239" s="9" t="inlineStr">
        <is>
          <t>https://relevanceai.com</t>
        </is>
      </c>
      <c r="S239">
        <f>IF(M239,N239,"")</f>
        <v/>
      </c>
    </row>
    <row r="240">
      <c r="A240" s="9" t="n">
        <v>203</v>
      </c>
      <c r="B240" s="9" t="inlineStr">
        <is>
          <t>Remove.bg</t>
        </is>
      </c>
      <c r="C240" s="9" t="inlineStr">
        <is>
          <t>ai-image</t>
        </is>
      </c>
      <c r="D240" s="9" t="inlineStr">
        <is>
          <t>AI Image Generators</t>
        </is>
      </c>
      <c r="E240" s="9" t="n">
        <v>4.75</v>
      </c>
      <c r="F240" s="9" t="n">
        <v>4.7</v>
      </c>
      <c r="G240" s="9" t="n">
        <v>4.8</v>
      </c>
      <c r="H240" s="9" t="n">
        <v>2017</v>
      </c>
      <c r="I240" s="9" t="n">
        <v/>
      </c>
      <c r="J240" s="9" t="b">
        <v>1</v>
      </c>
      <c r="K240" s="9" t="b">
        <v>0</v>
      </c>
      <c r="L240" s="9" t="b">
        <v>0</v>
      </c>
      <c r="M240" s="9" t="b">
        <v>1</v>
      </c>
      <c r="N240" s="9" t="n">
        <v>2</v>
      </c>
      <c r="O240" s="9" t="n">
        <v>9</v>
      </c>
      <c r="P240" s="9" t="n">
        <v>3</v>
      </c>
      <c r="Q240" s="9" t="n">
        <v>11</v>
      </c>
      <c r="R240" s="9" t="inlineStr">
        <is>
          <t>https://remove.bg</t>
        </is>
      </c>
      <c r="S240">
        <f>IF(M240,N240,"")</f>
        <v/>
      </c>
    </row>
    <row r="241">
      <c r="A241" s="9" t="n">
        <v>81</v>
      </c>
      <c r="B241" s="9" t="inlineStr">
        <is>
          <t>Render</t>
        </is>
      </c>
      <c r="C241" s="9" t="inlineStr">
        <is>
          <t>cloud-hosting</t>
        </is>
      </c>
      <c r="D241" s="9" t="inlineStr">
        <is>
          <t>Cloud Hosting</t>
        </is>
      </c>
      <c r="E241" s="9" t="n">
        <v>4.45</v>
      </c>
      <c r="F241" s="9" t="n">
        <v>4.4</v>
      </c>
      <c r="G241" s="9" t="n">
        <v>4.5</v>
      </c>
      <c r="H241" s="9" t="n">
        <v>2018</v>
      </c>
      <c r="I241" s="9" t="inlineStr">
        <is>
          <t>San Francisco, CA</t>
        </is>
      </c>
      <c r="J241" s="9" t="b">
        <v>1</v>
      </c>
      <c r="K241" s="9" t="b">
        <v>0</v>
      </c>
      <c r="L241" s="9" t="b">
        <v>1</v>
      </c>
      <c r="M241" s="9" t="b">
        <v>1</v>
      </c>
      <c r="N241" s="9" t="n">
        <v>7</v>
      </c>
      <c r="O241" s="9" t="n">
        <v>19</v>
      </c>
      <c r="P241" s="9" t="n">
        <v>4</v>
      </c>
      <c r="Q241" s="9" t="n">
        <v>16</v>
      </c>
      <c r="R241" s="9" t="inlineStr">
        <is>
          <t>https://render.com</t>
        </is>
      </c>
      <c r="S241">
        <f>IF(M241,N241,"")</f>
        <v/>
      </c>
    </row>
    <row r="242">
      <c r="A242" s="9" t="n">
        <v>187</v>
      </c>
      <c r="B242" s="9" t="inlineStr">
        <is>
          <t>Replicate</t>
        </is>
      </c>
      <c r="C242" s="9" t="inlineStr">
        <is>
          <t>llm</t>
        </is>
      </c>
      <c r="D242" s="9" t="inlineStr">
        <is>
          <t>Large Language Models</t>
        </is>
      </c>
      <c r="E242" s="9" t="n">
        <v>4.45</v>
      </c>
      <c r="F242" s="9" t="n">
        <v>4.5</v>
      </c>
      <c r="G242" s="9" t="n">
        <v>4.4</v>
      </c>
      <c r="H242" s="9" t="n">
        <v>2021</v>
      </c>
      <c r="I242" s="9" t="n">
        <v/>
      </c>
      <c r="J242" s="9" t="b">
        <v>1</v>
      </c>
      <c r="K242" s="9" t="b">
        <v>0</v>
      </c>
      <c r="L242" s="9" t="b">
        <v>0</v>
      </c>
      <c r="M242" s="9" t="b">
        <v>1</v>
      </c>
      <c r="N242" s="9" t="n">
        <v/>
      </c>
      <c r="O242" s="9" t="n">
        <v>0</v>
      </c>
      <c r="P242" s="9" t="n">
        <v>1</v>
      </c>
      <c r="Q242" s="9" t="n">
        <v>8</v>
      </c>
      <c r="R242" s="9" t="inlineStr">
        <is>
          <t>https://replicate.com</t>
        </is>
      </c>
      <c r="S242">
        <f>IF(M242,N242,"")</f>
        <v/>
      </c>
    </row>
    <row r="243">
      <c r="A243" s="9" t="n">
        <v>205</v>
      </c>
      <c r="B243" s="9" t="inlineStr">
        <is>
          <t>Replit AI</t>
        </is>
      </c>
      <c r="C243" s="9" t="inlineStr">
        <is>
          <t>ai-coding</t>
        </is>
      </c>
      <c r="D243" s="9" t="inlineStr">
        <is>
          <t>AI Coding</t>
        </is>
      </c>
      <c r="E243" s="9" t="n">
        <v>4.35</v>
      </c>
      <c r="F243" s="9" t="n">
        <v>4.4</v>
      </c>
      <c r="G243" s="9" t="n">
        <v>4.3</v>
      </c>
      <c r="H243" s="9" t="n">
        <v>2016</v>
      </c>
      <c r="I243" s="9" t="n">
        <v/>
      </c>
      <c r="J243" s="9" t="b">
        <v>1</v>
      </c>
      <c r="K243" s="9" t="b">
        <v>0</v>
      </c>
      <c r="L243" s="9" t="b">
        <v>0</v>
      </c>
      <c r="M243" s="9" t="b">
        <v>1</v>
      </c>
      <c r="N243" s="9" t="n">
        <v>20</v>
      </c>
      <c r="O243" s="9" t="n">
        <v>40</v>
      </c>
      <c r="P243" s="9" t="n">
        <v>3</v>
      </c>
      <c r="Q243" s="9" t="n">
        <v>10</v>
      </c>
      <c r="R243" s="9" t="inlineStr">
        <is>
          <t>https://replit.com/ai</t>
        </is>
      </c>
      <c r="S243">
        <f>IF(M243,N243,"")</f>
        <v/>
      </c>
    </row>
    <row r="244">
      <c r="A244" s="9" t="n">
        <v>139</v>
      </c>
      <c r="B244" s="9" t="inlineStr">
        <is>
          <t>RingCentral</t>
        </is>
      </c>
      <c r="C244" s="9" t="inlineStr">
        <is>
          <t>video-conferencing</t>
        </is>
      </c>
      <c r="D244" s="9" t="inlineStr">
        <is>
          <t>Video Conferencing</t>
        </is>
      </c>
      <c r="E244" s="9" t="n">
        <v>4.2</v>
      </c>
      <c r="F244" s="9" t="n">
        <v>4.1</v>
      </c>
      <c r="G244" s="9" t="n">
        <v>4.3</v>
      </c>
      <c r="H244" s="9" t="n">
        <v>1999</v>
      </c>
      <c r="I244" s="9" t="inlineStr">
        <is>
          <t>Belmont, CA</t>
        </is>
      </c>
      <c r="J244" s="9" t="b">
        <v>0</v>
      </c>
      <c r="K244" s="9" t="b">
        <v>0</v>
      </c>
      <c r="L244" s="9" t="b">
        <v>0</v>
      </c>
      <c r="M244" s="9" t="b">
        <v>1</v>
      </c>
      <c r="N244" s="9" t="n">
        <v>30</v>
      </c>
      <c r="O244" s="9" t="n">
        <v>45</v>
      </c>
      <c r="P244" s="9" t="n">
        <v>3</v>
      </c>
      <c r="Q244" s="9" t="n">
        <v>10</v>
      </c>
      <c r="R244" s="9" t="inlineStr">
        <is>
          <t>https://www.ringcentral.com</t>
        </is>
      </c>
      <c r="S244">
        <f>IF(M244,N244,"")</f>
        <v/>
      </c>
    </row>
    <row r="245">
      <c r="A245" s="9" t="n">
        <v>132</v>
      </c>
      <c r="B245" s="9" t="inlineStr">
        <is>
          <t>Riverside.fm</t>
        </is>
      </c>
      <c r="C245" s="9" t="inlineStr">
        <is>
          <t>video-conferencing</t>
        </is>
      </c>
      <c r="D245" s="9" t="inlineStr">
        <is>
          <t>Video Conferencing</t>
        </is>
      </c>
      <c r="E245" s="9" t="n">
        <v>4.75</v>
      </c>
      <c r="F245" s="9" t="n">
        <v>4.8</v>
      </c>
      <c r="G245" s="9" t="n">
        <v>4.7</v>
      </c>
      <c r="H245" s="9" t="n">
        <v>2019</v>
      </c>
      <c r="I245" s="9" t="inlineStr">
        <is>
          <t>New York, NY</t>
        </is>
      </c>
      <c r="J245" s="9" t="b">
        <v>1</v>
      </c>
      <c r="K245" s="9" t="b">
        <v>0</v>
      </c>
      <c r="L245" s="9" t="b">
        <v>1</v>
      </c>
      <c r="M245" s="9" t="b">
        <v>1</v>
      </c>
      <c r="N245" s="9" t="n">
        <v>19</v>
      </c>
      <c r="O245" s="9" t="n">
        <v>29</v>
      </c>
      <c r="P245" s="9" t="n">
        <v>4</v>
      </c>
      <c r="Q245" s="9" t="n">
        <v>10</v>
      </c>
      <c r="R245" s="9" t="inlineStr">
        <is>
          <t>https://riverside.com</t>
        </is>
      </c>
      <c r="S245">
        <f>IF(M245,N245,"")</f>
        <v/>
      </c>
    </row>
    <row r="246">
      <c r="A246" s="9" t="n">
        <v>174</v>
      </c>
      <c r="B246" s="9" t="inlineStr">
        <is>
          <t>Runway</t>
        </is>
      </c>
      <c r="C246" s="9" t="inlineStr">
        <is>
          <t>ai-video</t>
        </is>
      </c>
      <c r="D246" s="9" t="inlineStr">
        <is>
          <t>AI Video</t>
        </is>
      </c>
      <c r="E246" s="9" t="n">
        <v>4.45</v>
      </c>
      <c r="F246" s="9" t="n">
        <v>4.5</v>
      </c>
      <c r="G246" s="9" t="n">
        <v>4.4</v>
      </c>
      <c r="H246" s="9" t="n">
        <v>2018</v>
      </c>
      <c r="I246" s="9" t="n">
        <v/>
      </c>
      <c r="J246" s="9" t="b">
        <v>1</v>
      </c>
      <c r="K246" s="9" t="b">
        <v>0</v>
      </c>
      <c r="L246" s="9" t="b">
        <v>0</v>
      </c>
      <c r="M246" s="9" t="b">
        <v>1</v>
      </c>
      <c r="N246" s="9" t="n">
        <v>12</v>
      </c>
      <c r="O246" s="9" t="n">
        <v>76</v>
      </c>
      <c r="P246" s="9" t="n">
        <v>4</v>
      </c>
      <c r="Q246" s="9" t="n">
        <v>13</v>
      </c>
      <c r="R246" s="9" t="inlineStr">
        <is>
          <t>https://runwayml.com</t>
        </is>
      </c>
      <c r="S246">
        <f>IF(M246,N246,"")</f>
        <v/>
      </c>
    </row>
    <row r="247">
      <c r="A247" s="9" t="n">
        <v>190</v>
      </c>
      <c r="B247" s="9" t="inlineStr">
        <is>
          <t>Rytr</t>
        </is>
      </c>
      <c r="C247" s="9" t="inlineStr">
        <is>
          <t>ai-writing</t>
        </is>
      </c>
      <c r="D247" s="9" t="inlineStr">
        <is>
          <t>AI Writing</t>
        </is>
      </c>
      <c r="E247" s="9" t="n">
        <v>4.6</v>
      </c>
      <c r="F247" s="9" t="n">
        <v>4.7</v>
      </c>
      <c r="G247" s="9" t="n">
        <v>4.5</v>
      </c>
      <c r="H247" s="9" t="n">
        <v>2021</v>
      </c>
      <c r="I247" s="9" t="n">
        <v/>
      </c>
      <c r="J247" s="9" t="b">
        <v>1</v>
      </c>
      <c r="K247" s="9" t="b">
        <v>0</v>
      </c>
      <c r="L247" s="9" t="b">
        <v>0</v>
      </c>
      <c r="M247" s="9" t="b">
        <v>1</v>
      </c>
      <c r="N247" s="9" t="n">
        <v>9</v>
      </c>
      <c r="O247" s="9" t="n">
        <v>29</v>
      </c>
      <c r="P247" s="9" t="n">
        <v>3</v>
      </c>
      <c r="Q247" s="9" t="n">
        <v>7</v>
      </c>
      <c r="R247" s="9" t="inlineStr">
        <is>
          <t>https://rytr.me</t>
        </is>
      </c>
      <c r="S247">
        <f>IF(M247,N247,"")</f>
        <v/>
      </c>
    </row>
    <row r="248">
      <c r="A248" s="9" t="n">
        <v>329</v>
      </c>
      <c r="B248" s="9" t="inlineStr">
        <is>
          <t>SafePal</t>
        </is>
      </c>
      <c r="C248" s="9" t="inlineStr">
        <is>
          <t>crypto-wallets</t>
        </is>
      </c>
      <c r="D248" s="9" t="inlineStr">
        <is>
          <t>Crypto Wallets</t>
        </is>
      </c>
      <c r="E248" s="9" t="n">
        <v/>
      </c>
      <c r="F248" s="9" t="n">
        <v/>
      </c>
      <c r="G248" s="9" t="n">
        <v/>
      </c>
      <c r="H248" s="9" t="n">
        <v>2018</v>
      </c>
      <c r="I248" s="9" t="inlineStr">
        <is>
          <t>Hong Kong</t>
        </is>
      </c>
      <c r="J248" s="9" t="b">
        <v>1</v>
      </c>
      <c r="K248" s="9" t="b">
        <v>0</v>
      </c>
      <c r="L248" s="9" t="b">
        <v>0</v>
      </c>
      <c r="M248" s="9" t="b">
        <v>1</v>
      </c>
      <c r="N248" s="9" t="n">
        <v>29.99</v>
      </c>
      <c r="O248" s="9" t="n">
        <v>79.98999999999999</v>
      </c>
      <c r="P248" s="9" t="n">
        <v>4</v>
      </c>
      <c r="Q248" s="9" t="n">
        <v>14</v>
      </c>
      <c r="R248" s="9" t="inlineStr">
        <is>
          <t>https://www.safepal.com</t>
        </is>
      </c>
      <c r="S248">
        <f>IF(M248,N248,"")</f>
        <v/>
      </c>
    </row>
    <row r="249">
      <c r="A249" s="9" t="n">
        <v>112</v>
      </c>
      <c r="B249" s="9" t="inlineStr">
        <is>
          <t>Sage Business Cloud Accounting</t>
        </is>
      </c>
      <c r="C249" s="9" t="inlineStr">
        <is>
          <t>accounting</t>
        </is>
      </c>
      <c r="D249" s="9" t="inlineStr">
        <is>
          <t>Accounting</t>
        </is>
      </c>
      <c r="E249" s="9" t="n">
        <v>4.1</v>
      </c>
      <c r="F249" s="9" t="n">
        <v>4.1</v>
      </c>
      <c r="G249" s="9" t="n">
        <v>4.1</v>
      </c>
      <c r="H249" s="9" t="n">
        <v>1981</v>
      </c>
      <c r="I249" s="9" t="inlineStr">
        <is>
          <t>Newcastle, UK</t>
        </is>
      </c>
      <c r="J249" s="9" t="b">
        <v>0</v>
      </c>
      <c r="K249" s="9" t="b">
        <v>0</v>
      </c>
      <c r="L249" s="9" t="b">
        <v>1</v>
      </c>
      <c r="M249" s="9" t="b">
        <v>1</v>
      </c>
      <c r="N249" s="9" t="n">
        <v>10</v>
      </c>
      <c r="O249" s="9" t="n">
        <v>25</v>
      </c>
      <c r="P249" s="9" t="n">
        <v>3</v>
      </c>
      <c r="Q249" s="9" t="n">
        <v>13</v>
      </c>
      <c r="R249" s="9" t="inlineStr">
        <is>
          <t>https://www.sage.com/en-us/accounting-software/</t>
        </is>
      </c>
      <c r="S249">
        <f>IF(M249,N249,"")</f>
        <v/>
      </c>
    </row>
    <row r="250">
      <c r="A250" s="9" t="n">
        <v>21</v>
      </c>
      <c r="B250" s="9" t="inlineStr">
        <is>
          <t>Salesforce</t>
        </is>
      </c>
      <c r="C250" s="9" t="inlineStr">
        <is>
          <t>crm</t>
        </is>
      </c>
      <c r="D250" s="9" t="inlineStr">
        <is>
          <t>CRM</t>
        </is>
      </c>
      <c r="E250" s="9" t="n">
        <v>4.4</v>
      </c>
      <c r="F250" s="9" t="n">
        <v>4.4</v>
      </c>
      <c r="G250" s="9" t="n">
        <v>4.4</v>
      </c>
      <c r="H250" s="9" t="n">
        <v>1999</v>
      </c>
      <c r="I250" s="9" t="inlineStr">
        <is>
          <t>San Francisco, CA</t>
        </is>
      </c>
      <c r="J250" s="9" t="b">
        <v>0</v>
      </c>
      <c r="K250" s="9" t="b">
        <v>0</v>
      </c>
      <c r="L250" s="9" t="b">
        <v>0</v>
      </c>
      <c r="M250" s="9" t="b">
        <v>1</v>
      </c>
      <c r="N250" s="9" t="n">
        <v>25</v>
      </c>
      <c r="O250" s="9" t="n">
        <v>330</v>
      </c>
      <c r="P250" s="9" t="n">
        <v>4</v>
      </c>
      <c r="Q250" s="9" t="n">
        <v>18</v>
      </c>
      <c r="R250" s="9" t="inlineStr">
        <is>
          <t>https://www.salesforce.com</t>
        </is>
      </c>
      <c r="S250">
        <f>IF(M250,N250,"")</f>
        <v/>
      </c>
    </row>
    <row r="251">
      <c r="A251" s="9" t="n">
        <v>276</v>
      </c>
      <c r="B251" s="9" t="inlineStr">
        <is>
          <t>Santiment</t>
        </is>
      </c>
      <c r="C251" s="9" t="inlineStr">
        <is>
          <t>crypto-analytics</t>
        </is>
      </c>
      <c r="D251" s="9" t="inlineStr">
        <is>
          <t>Crypto Analytics</t>
        </is>
      </c>
      <c r="E251" s="9" t="n">
        <v>4</v>
      </c>
      <c r="F251" s="9" t="n">
        <v>4</v>
      </c>
      <c r="G251" s="9" t="n">
        <v/>
      </c>
      <c r="H251" s="9" t="n">
        <v>2016</v>
      </c>
      <c r="I251" s="9" t="inlineStr">
        <is>
          <t>Zug, Switzerland</t>
        </is>
      </c>
      <c r="J251" s="9" t="b">
        <v>1</v>
      </c>
      <c r="K251" s="9" t="b">
        <v>0</v>
      </c>
      <c r="L251" s="9" t="b">
        <v>1</v>
      </c>
      <c r="M251" s="9" t="b">
        <v>1</v>
      </c>
      <c r="N251" s="9" t="n">
        <v>49</v>
      </c>
      <c r="O251" s="9" t="n">
        <v>249</v>
      </c>
      <c r="P251" s="9" t="n">
        <v>4</v>
      </c>
      <c r="Q251" s="9" t="n">
        <v>5</v>
      </c>
      <c r="R251" s="9" t="inlineStr">
        <is>
          <t>https://santiment.net</t>
        </is>
      </c>
      <c r="S251">
        <f>IF(M251,N251,"")</f>
        <v/>
      </c>
    </row>
    <row r="252">
      <c r="A252" s="9" t="n">
        <v>51</v>
      </c>
      <c r="B252" s="9" t="inlineStr">
        <is>
          <t>Sender</t>
        </is>
      </c>
      <c r="C252" s="9" t="inlineStr">
        <is>
          <t>email-marketing</t>
        </is>
      </c>
      <c r="D252" s="9" t="inlineStr">
        <is>
          <t>Email Marketing</t>
        </is>
      </c>
      <c r="E252" s="9" t="n">
        <v>4.5</v>
      </c>
      <c r="F252" s="9" t="n">
        <v>4.4</v>
      </c>
      <c r="G252" s="9" t="n">
        <v>4.6</v>
      </c>
      <c r="H252" s="9" t="n">
        <v>2012</v>
      </c>
      <c r="I252" s="9" t="inlineStr">
        <is>
          <t>Vilnius, Lithuania</t>
        </is>
      </c>
      <c r="J252" s="9" t="b">
        <v>1</v>
      </c>
      <c r="K252" s="9" t="b">
        <v>0</v>
      </c>
      <c r="L252" s="9" t="b">
        <v>1</v>
      </c>
      <c r="M252" s="9" t="b">
        <v>1</v>
      </c>
      <c r="N252" s="9" t="n">
        <v>10</v>
      </c>
      <c r="O252" s="9" t="n">
        <v>35</v>
      </c>
      <c r="P252" s="9" t="n">
        <v>4</v>
      </c>
      <c r="Q252" s="9" t="n">
        <v>16</v>
      </c>
      <c r="R252" s="9" t="inlineStr">
        <is>
          <t>https://www.sender.net</t>
        </is>
      </c>
      <c r="S252">
        <f>IF(M252,N252,"")</f>
        <v/>
      </c>
    </row>
    <row r="253">
      <c r="A253" s="9" t="n">
        <v>62</v>
      </c>
      <c r="B253" s="9" t="inlineStr">
        <is>
          <t>Shopify</t>
        </is>
      </c>
      <c r="C253" s="9" t="inlineStr">
        <is>
          <t>website-builders</t>
        </is>
      </c>
      <c r="D253" s="9" t="inlineStr">
        <is>
          <t>Website Builders</t>
        </is>
      </c>
      <c r="E253" s="9" t="n">
        <v>4.45</v>
      </c>
      <c r="F253" s="9" t="n">
        <v>4.4</v>
      </c>
      <c r="G253" s="9" t="n">
        <v>4.5</v>
      </c>
      <c r="H253" s="9" t="n">
        <v>2006</v>
      </c>
      <c r="I253" s="9" t="inlineStr">
        <is>
          <t>Ottawa, Canada</t>
        </is>
      </c>
      <c r="J253" s="9" t="b">
        <v>0</v>
      </c>
      <c r="K253" s="9" t="b">
        <v>0</v>
      </c>
      <c r="L253" s="9" t="b">
        <v>0</v>
      </c>
      <c r="M253" s="9" t="b">
        <v>1</v>
      </c>
      <c r="N253" s="9" t="n">
        <v>39</v>
      </c>
      <c r="O253" s="9" t="n">
        <v>2300</v>
      </c>
      <c r="P253" s="9" t="n">
        <v>4</v>
      </c>
      <c r="Q253" s="9" t="n">
        <v>15</v>
      </c>
      <c r="R253" s="9" t="inlineStr">
        <is>
          <t>https://www.shopify.com</t>
        </is>
      </c>
      <c r="S253">
        <f>IF(M253,N253,"")</f>
        <v/>
      </c>
    </row>
    <row r="254">
      <c r="A254" s="9" t="n">
        <v>18</v>
      </c>
      <c r="B254" s="9" t="inlineStr">
        <is>
          <t>Shortcut (formerly Clubhouse)</t>
        </is>
      </c>
      <c r="C254" s="9" t="inlineStr">
        <is>
          <t>project-management</t>
        </is>
      </c>
      <c r="D254" s="9" t="inlineStr">
        <is>
          <t>Project Management</t>
        </is>
      </c>
      <c r="E254" s="9" t="n">
        <v>4.4</v>
      </c>
      <c r="F254" s="9" t="n">
        <v>4.3</v>
      </c>
      <c r="G254" s="9" t="n">
        <v>4.5</v>
      </c>
      <c r="H254" s="9" t="n">
        <v>2016</v>
      </c>
      <c r="I254" s="9" t="inlineStr">
        <is>
          <t>New York, NY</t>
        </is>
      </c>
      <c r="J254" s="9" t="b">
        <v>1</v>
      </c>
      <c r="K254" s="9" t="b">
        <v>0</v>
      </c>
      <c r="L254" s="9" t="b">
        <v>1</v>
      </c>
      <c r="M254" s="9" t="b">
        <v>1</v>
      </c>
      <c r="N254" s="9" t="n">
        <v>8.5</v>
      </c>
      <c r="O254" s="9" t="n">
        <v>12</v>
      </c>
      <c r="P254" s="9" t="n">
        <v>4</v>
      </c>
      <c r="Q254" s="9" t="n">
        <v>9</v>
      </c>
      <c r="R254" s="9" t="inlineStr">
        <is>
          <t>https://shortcut.com</t>
        </is>
      </c>
      <c r="S254">
        <f>IF(M254,N254,"")</f>
        <v/>
      </c>
    </row>
    <row r="255">
      <c r="A255" s="9" t="n">
        <v>75</v>
      </c>
      <c r="B255" s="9" t="inlineStr">
        <is>
          <t>SiteGround</t>
        </is>
      </c>
      <c r="C255" s="9" t="inlineStr">
        <is>
          <t>cloud-hosting</t>
        </is>
      </c>
      <c r="D255" s="9" t="inlineStr">
        <is>
          <t>Cloud Hosting</t>
        </is>
      </c>
      <c r="E255" s="9" t="n">
        <v>4.5</v>
      </c>
      <c r="F255" s="9" t="n">
        <v>4.4</v>
      </c>
      <c r="G255" s="9" t="n">
        <v>4.6</v>
      </c>
      <c r="H255" s="9" t="n">
        <v>2004</v>
      </c>
      <c r="I255" s="9" t="inlineStr">
        <is>
          <t>Sofia, Bulgaria</t>
        </is>
      </c>
      <c r="J255" s="9" t="b">
        <v>0</v>
      </c>
      <c r="K255" s="9" t="b">
        <v>0</v>
      </c>
      <c r="L255" s="9" t="b">
        <v>0</v>
      </c>
      <c r="M255" s="9" t="b">
        <v>1</v>
      </c>
      <c r="N255" s="9" t="n">
        <v>2.99</v>
      </c>
      <c r="O255" s="9" t="n">
        <v>7.99</v>
      </c>
      <c r="P255" s="9" t="n">
        <v>3</v>
      </c>
      <c r="Q255" s="9" t="n">
        <v>9</v>
      </c>
      <c r="R255" s="9" t="inlineStr">
        <is>
          <t>https://www.siteground.com</t>
        </is>
      </c>
      <c r="S255">
        <f>IF(M255,N255,"")</f>
        <v/>
      </c>
    </row>
    <row r="256">
      <c r="A256" s="9" t="n">
        <v>94</v>
      </c>
      <c r="B256" s="9" t="inlineStr">
        <is>
          <t>Sketch</t>
        </is>
      </c>
      <c r="C256" s="9" t="inlineStr">
        <is>
          <t>design-tools</t>
        </is>
      </c>
      <c r="D256" s="9" t="inlineStr">
        <is>
          <t>Design Tools</t>
        </is>
      </c>
      <c r="E256" s="9" t="n">
        <v>4.55</v>
      </c>
      <c r="F256" s="9" t="n">
        <v>4.5</v>
      </c>
      <c r="G256" s="9" t="n">
        <v>4.6</v>
      </c>
      <c r="H256" s="9" t="n">
        <v>2010</v>
      </c>
      <c r="I256" s="9" t="inlineStr">
        <is>
          <t>The Hague, Netherlands</t>
        </is>
      </c>
      <c r="J256" s="9" t="b">
        <v>0</v>
      </c>
      <c r="K256" s="9" t="b">
        <v>0</v>
      </c>
      <c r="L256" s="9" t="b">
        <v>0</v>
      </c>
      <c r="M256" s="9" t="b">
        <v>1</v>
      </c>
      <c r="N256" s="9" t="n">
        <v>12</v>
      </c>
      <c r="O256" s="9" t="n">
        <v>44</v>
      </c>
      <c r="P256" s="9" t="n">
        <v>3</v>
      </c>
      <c r="Q256" s="9" t="n">
        <v>12</v>
      </c>
      <c r="R256" s="9" t="inlineStr">
        <is>
          <t>https://www.sketch.com</t>
        </is>
      </c>
      <c r="S256">
        <f>IF(M256,N256,"")</f>
        <v/>
      </c>
    </row>
    <row r="257">
      <c r="A257" s="9" t="n">
        <v>138</v>
      </c>
      <c r="B257" s="9" t="inlineStr">
        <is>
          <t>Slack</t>
        </is>
      </c>
      <c r="C257" s="9" t="inlineStr">
        <is>
          <t>video-conferencing</t>
        </is>
      </c>
      <c r="D257" s="9" t="inlineStr">
        <is>
          <t>Video Conferencing</t>
        </is>
      </c>
      <c r="E257" s="9" t="n">
        <v>4.6</v>
      </c>
      <c r="F257" s="9" t="n">
        <v>4.5</v>
      </c>
      <c r="G257" s="9" t="n">
        <v>4.7</v>
      </c>
      <c r="H257" s="9" t="n">
        <v>2013</v>
      </c>
      <c r="I257" s="9" t="inlineStr">
        <is>
          <t>San Francisco, CA (Salesforce)</t>
        </is>
      </c>
      <c r="J257" s="9" t="b">
        <v>1</v>
      </c>
      <c r="K257" s="9" t="b">
        <v>0</v>
      </c>
      <c r="L257" s="9" t="b">
        <v>1</v>
      </c>
      <c r="M257" s="9" t="b">
        <v>1</v>
      </c>
      <c r="N257" s="9" t="n">
        <v>8.75</v>
      </c>
      <c r="O257" s="9" t="n">
        <v>15</v>
      </c>
      <c r="P257" s="9" t="n">
        <v>4</v>
      </c>
      <c r="Q257" s="9" t="n">
        <v>9</v>
      </c>
      <c r="R257" s="9" t="inlineStr">
        <is>
          <t>https://slack.com</t>
        </is>
      </c>
      <c r="S257">
        <f>IF(M257,N257,"")</f>
        <v/>
      </c>
    </row>
    <row r="258">
      <c r="A258" s="9" t="n">
        <v>13</v>
      </c>
      <c r="B258" s="9" t="inlineStr">
        <is>
          <t>Smartsheet</t>
        </is>
      </c>
      <c r="C258" s="9" t="inlineStr">
        <is>
          <t>project-management</t>
        </is>
      </c>
      <c r="D258" s="9" t="inlineStr">
        <is>
          <t>Project Management</t>
        </is>
      </c>
      <c r="E258" s="9" t="n">
        <v>4.5</v>
      </c>
      <c r="F258" s="9" t="n">
        <v>4.5</v>
      </c>
      <c r="G258" s="9" t="n">
        <v>4.5</v>
      </c>
      <c r="H258" s="9" t="n">
        <v>2005</v>
      </c>
      <c r="I258" s="9" t="inlineStr">
        <is>
          <t>Bellevue, WA</t>
        </is>
      </c>
      <c r="J258" s="9" t="b">
        <v>0</v>
      </c>
      <c r="K258" s="9" t="b">
        <v>0</v>
      </c>
      <c r="L258" s="9" t="b">
        <v>1</v>
      </c>
      <c r="M258" s="9" t="b">
        <v>1</v>
      </c>
      <c r="N258" s="9" t="n">
        <v>9</v>
      </c>
      <c r="O258" s="9" t="n">
        <v>19</v>
      </c>
      <c r="P258" s="9" t="n">
        <v>3</v>
      </c>
      <c r="Q258" s="9" t="n">
        <v>18</v>
      </c>
      <c r="R258" s="9" t="inlineStr">
        <is>
          <t>https://www.smartsheet.com</t>
        </is>
      </c>
      <c r="S258">
        <f>IF(M258,N258,"")</f>
        <v/>
      </c>
    </row>
    <row r="259">
      <c r="A259" s="9" t="n">
        <v>263</v>
      </c>
      <c r="B259" s="9" t="inlineStr">
        <is>
          <t>Sora</t>
        </is>
      </c>
      <c r="C259" s="9" t="inlineStr">
        <is>
          <t>ai-video</t>
        </is>
      </c>
      <c r="D259" s="9" t="inlineStr">
        <is>
          <t>AI Video</t>
        </is>
      </c>
      <c r="E259" s="9" t="n">
        <v>4.25</v>
      </c>
      <c r="F259" s="9" t="n">
        <v>4.3</v>
      </c>
      <c r="G259" s="9" t="n">
        <v>4.2</v>
      </c>
      <c r="H259" s="9" t="n">
        <v>2024</v>
      </c>
      <c r="I259" s="9" t="n">
        <v/>
      </c>
      <c r="J259" s="9" t="b">
        <v>0</v>
      </c>
      <c r="K259" s="9" t="b">
        <v>0</v>
      </c>
      <c r="L259" s="9" t="b">
        <v>0</v>
      </c>
      <c r="M259" s="9" t="b">
        <v>1</v>
      </c>
      <c r="N259" s="9" t="n">
        <v>20</v>
      </c>
      <c r="O259" s="9" t="n">
        <v>200</v>
      </c>
      <c r="P259" s="9" t="n">
        <v>2</v>
      </c>
      <c r="Q259" s="9" t="n">
        <v>8</v>
      </c>
      <c r="R259" s="9" t="inlineStr">
        <is>
          <t>https://openai.com/sora</t>
        </is>
      </c>
      <c r="S259">
        <f>IF(M259,N259,"")</f>
        <v/>
      </c>
    </row>
    <row r="260">
      <c r="A260" s="9" t="n">
        <v>264</v>
      </c>
      <c r="B260" s="9" t="inlineStr">
        <is>
          <t>Speechify</t>
        </is>
      </c>
      <c r="C260" s="9" t="inlineStr">
        <is>
          <t>ai-voice</t>
        </is>
      </c>
      <c r="D260" s="9" t="inlineStr">
        <is>
          <t>AI Voice &amp; Audio</t>
        </is>
      </c>
      <c r="E260" s="9" t="n">
        <v>4.75</v>
      </c>
      <c r="F260" s="9" t="n">
        <v>4.7</v>
      </c>
      <c r="G260" s="9" t="n">
        <v>4.8</v>
      </c>
      <c r="H260" s="9" t="n">
        <v>2017</v>
      </c>
      <c r="I260" s="9" t="n">
        <v/>
      </c>
      <c r="J260" s="9" t="b">
        <v>1</v>
      </c>
      <c r="K260" s="9" t="b">
        <v>0</v>
      </c>
      <c r="L260" s="9" t="b">
        <v>0</v>
      </c>
      <c r="M260" s="9" t="b">
        <v>1</v>
      </c>
      <c r="N260" s="9" t="n">
        <v>29</v>
      </c>
      <c r="O260" s="9" t="n">
        <v>29</v>
      </c>
      <c r="P260" s="9" t="n">
        <v>2</v>
      </c>
      <c r="Q260" s="9" t="n">
        <v>12</v>
      </c>
      <c r="R260" s="9" t="inlineStr">
        <is>
          <t>https://speechify.com</t>
        </is>
      </c>
      <c r="S260">
        <f>IF(M260,N260,"")</f>
        <v/>
      </c>
    </row>
    <row r="261">
      <c r="A261" s="9" t="n">
        <v>104</v>
      </c>
      <c r="B261" s="9" t="inlineStr">
        <is>
          <t>Spline</t>
        </is>
      </c>
      <c r="C261" s="9" t="inlineStr">
        <is>
          <t>design-tools</t>
        </is>
      </c>
      <c r="D261" s="9" t="inlineStr">
        <is>
          <t>Design Tools</t>
        </is>
      </c>
      <c r="E261" s="9" t="n">
        <v>4.55</v>
      </c>
      <c r="F261" s="9" t="n">
        <v>4.5</v>
      </c>
      <c r="G261" s="9" t="n">
        <v>4.6</v>
      </c>
      <c r="H261" s="9" t="n">
        <v>2020</v>
      </c>
      <c r="I261" s="9" t="inlineStr">
        <is>
          <t>Remote</t>
        </is>
      </c>
      <c r="J261" s="9" t="b">
        <v>1</v>
      </c>
      <c r="K261" s="9" t="b">
        <v>0</v>
      </c>
      <c r="L261" s="9" t="b">
        <v>0</v>
      </c>
      <c r="M261" s="9" t="b">
        <v>1</v>
      </c>
      <c r="N261" s="9" t="n">
        <v>12</v>
      </c>
      <c r="O261" s="9" t="n">
        <v>20</v>
      </c>
      <c r="P261" s="9" t="n">
        <v>3</v>
      </c>
      <c r="Q261" s="9" t="n">
        <v>9</v>
      </c>
      <c r="R261" s="9" t="inlineStr">
        <is>
          <t>https://spline.design</t>
        </is>
      </c>
      <c r="S261">
        <f>IF(M261,N261,"")</f>
        <v/>
      </c>
    </row>
    <row r="262">
      <c r="A262" s="9" t="n">
        <v>57</v>
      </c>
      <c r="B262" s="9" t="inlineStr">
        <is>
          <t>Squarespace</t>
        </is>
      </c>
      <c r="C262" s="9" t="inlineStr">
        <is>
          <t>website-builders</t>
        </is>
      </c>
      <c r="D262" s="9" t="inlineStr">
        <is>
          <t>Website Builders</t>
        </is>
      </c>
      <c r="E262" s="9" t="n">
        <v>4.5</v>
      </c>
      <c r="F262" s="9" t="n">
        <v>4.4</v>
      </c>
      <c r="G262" s="9" t="n">
        <v>4.6</v>
      </c>
      <c r="H262" s="9" t="n">
        <v>2003</v>
      </c>
      <c r="I262" s="9" t="inlineStr">
        <is>
          <t>New York, NY</t>
        </is>
      </c>
      <c r="J262" s="9" t="b">
        <v>0</v>
      </c>
      <c r="K262" s="9" t="b">
        <v>0</v>
      </c>
      <c r="L262" s="9" t="b">
        <v>0</v>
      </c>
      <c r="M262" s="9" t="b">
        <v>1</v>
      </c>
      <c r="N262" s="9" t="n">
        <v>16</v>
      </c>
      <c r="O262" s="9" t="n">
        <v>65</v>
      </c>
      <c r="P262" s="9" t="n">
        <v>4</v>
      </c>
      <c r="Q262" s="9" t="n">
        <v>15</v>
      </c>
      <c r="R262" s="9" t="inlineStr">
        <is>
          <t>https://www.squarespace.com</t>
        </is>
      </c>
      <c r="S262">
        <f>IF(M262,N262,"")</f>
        <v/>
      </c>
    </row>
    <row r="263">
      <c r="A263" s="9" t="n">
        <v>169</v>
      </c>
      <c r="B263" s="9" t="inlineStr">
        <is>
          <t>Stable Diffusion</t>
        </is>
      </c>
      <c r="C263" s="9" t="inlineStr">
        <is>
          <t>ai-image</t>
        </is>
      </c>
      <c r="D263" s="9" t="inlineStr">
        <is>
          <t>AI Image Generators</t>
        </is>
      </c>
      <c r="E263" s="9" t="n">
        <v>4.35</v>
      </c>
      <c r="F263" s="9" t="n">
        <v>4.3</v>
      </c>
      <c r="G263" s="9" t="n">
        <v>4.4</v>
      </c>
      <c r="H263" s="9" t="n">
        <v>2022</v>
      </c>
      <c r="I263" s="9" t="n">
        <v/>
      </c>
      <c r="J263" s="9" t="b">
        <v>1</v>
      </c>
      <c r="K263" s="9" t="b">
        <v>0</v>
      </c>
      <c r="L263" s="9" t="b">
        <v>0</v>
      </c>
      <c r="M263" s="9" t="b">
        <v>1</v>
      </c>
      <c r="N263" s="9" t="n">
        <v>20</v>
      </c>
      <c r="O263" s="9" t="n">
        <v>20</v>
      </c>
      <c r="P263" s="9" t="n">
        <v>2</v>
      </c>
      <c r="Q263" s="9" t="n">
        <v>9</v>
      </c>
      <c r="R263" s="9" t="inlineStr">
        <is>
          <t>https://stability.ai</t>
        </is>
      </c>
      <c r="S263">
        <f>IF(M263,N263,"")</f>
        <v/>
      </c>
    </row>
    <row r="264">
      <c r="A264" s="9" t="n">
        <v>30</v>
      </c>
      <c r="B264" s="9" t="inlineStr">
        <is>
          <t>Streak</t>
        </is>
      </c>
      <c r="C264" s="9" t="inlineStr">
        <is>
          <t>crm</t>
        </is>
      </c>
      <c r="D264" s="9" t="inlineStr">
        <is>
          <t>CRM</t>
        </is>
      </c>
      <c r="E264" s="9" t="n">
        <v>4.5</v>
      </c>
      <c r="F264" s="9" t="n">
        <v>4.5</v>
      </c>
      <c r="G264" s="9" t="n">
        <v>4.5</v>
      </c>
      <c r="H264" s="9" t="n">
        <v>2012</v>
      </c>
      <c r="I264" s="9" t="inlineStr">
        <is>
          <t>San Francisco, CA</t>
        </is>
      </c>
      <c r="J264" s="9" t="b">
        <v>1</v>
      </c>
      <c r="K264" s="9" t="b">
        <v>0</v>
      </c>
      <c r="L264" s="9" t="b">
        <v>0</v>
      </c>
      <c r="M264" s="9" t="b">
        <v>1</v>
      </c>
      <c r="N264" s="9" t="n">
        <v>15</v>
      </c>
      <c r="O264" s="9" t="n">
        <v>129</v>
      </c>
      <c r="P264" s="9" t="n">
        <v>5</v>
      </c>
      <c r="Q264" s="9" t="n">
        <v>12</v>
      </c>
      <c r="R264" s="9" t="inlineStr">
        <is>
          <t>https://www.streak.com</t>
        </is>
      </c>
      <c r="S264">
        <f>IF(M264,N264,"")</f>
        <v/>
      </c>
    </row>
    <row r="265">
      <c r="A265" s="9" t="n">
        <v>66</v>
      </c>
      <c r="B265" s="9" t="inlineStr">
        <is>
          <t>Strikingly</t>
        </is>
      </c>
      <c r="C265" s="9" t="inlineStr">
        <is>
          <t>website-builders</t>
        </is>
      </c>
      <c r="D265" s="9" t="inlineStr">
        <is>
          <t>Website Builders</t>
        </is>
      </c>
      <c r="E265" s="9" t="n">
        <v>4.2</v>
      </c>
      <c r="F265" s="9" t="n">
        <v>4.1</v>
      </c>
      <c r="G265" s="9" t="n">
        <v>4.3</v>
      </c>
      <c r="H265" s="9" t="n">
        <v>2012</v>
      </c>
      <c r="I265" s="9" t="inlineStr">
        <is>
          <t>San Francisco, CA</t>
        </is>
      </c>
      <c r="J265" s="9" t="b">
        <v>1</v>
      </c>
      <c r="K265" s="9" t="b">
        <v>0</v>
      </c>
      <c r="L265" s="9" t="b">
        <v>0</v>
      </c>
      <c r="M265" s="9" t="b">
        <v>1</v>
      </c>
      <c r="N265" s="9" t="n">
        <v>12</v>
      </c>
      <c r="O265" s="9" t="n">
        <v>49</v>
      </c>
      <c r="P265" s="9" t="n">
        <v>4</v>
      </c>
      <c r="Q265" s="9" t="n">
        <v>12</v>
      </c>
      <c r="R265" s="9" t="inlineStr">
        <is>
          <t>https://www.strikingly.com</t>
        </is>
      </c>
      <c r="S265">
        <f>IF(M265,N265,"")</f>
        <v/>
      </c>
    </row>
    <row r="266">
      <c r="A266" s="9" t="n">
        <v>193</v>
      </c>
      <c r="B266" s="9" t="inlineStr">
        <is>
          <t>Sudowrite</t>
        </is>
      </c>
      <c r="C266" s="9" t="inlineStr">
        <is>
          <t>ai-writing</t>
        </is>
      </c>
      <c r="D266" s="9" t="inlineStr">
        <is>
          <t>AI Writing</t>
        </is>
      </c>
      <c r="E266" s="9" t="n">
        <v>4.45</v>
      </c>
      <c r="F266" s="9" t="n">
        <v>4.5</v>
      </c>
      <c r="G266" s="9" t="n">
        <v>4.4</v>
      </c>
      <c r="H266" s="9" t="n">
        <v>2020</v>
      </c>
      <c r="I266" s="9" t="n">
        <v/>
      </c>
      <c r="J266" s="9" t="b">
        <v>0</v>
      </c>
      <c r="K266" s="9" t="b">
        <v>0</v>
      </c>
      <c r="L266" s="9" t="b">
        <v>0</v>
      </c>
      <c r="M266" s="9" t="b">
        <v>1</v>
      </c>
      <c r="N266" s="9" t="n">
        <v>10</v>
      </c>
      <c r="O266" s="9" t="n">
        <v>44</v>
      </c>
      <c r="P266" s="9" t="n">
        <v>3</v>
      </c>
      <c r="Q266" s="9" t="n">
        <v>6</v>
      </c>
      <c r="R266" s="9" t="inlineStr">
        <is>
          <t>https://sudowrite.com</t>
        </is>
      </c>
      <c r="S266">
        <f>IF(M266,N266,"")</f>
        <v/>
      </c>
    </row>
    <row r="267">
      <c r="A267" s="9" t="n">
        <v>140</v>
      </c>
      <c r="B267" s="9" t="inlineStr">
        <is>
          <t>SugarCRM</t>
        </is>
      </c>
      <c r="C267" s="9" t="inlineStr">
        <is>
          <t>crm</t>
        </is>
      </c>
      <c r="D267" s="9" t="inlineStr">
        <is>
          <t>CRM</t>
        </is>
      </c>
      <c r="E267" s="9" t="n">
        <v>3.8</v>
      </c>
      <c r="F267" s="9" t="n">
        <v>3.8</v>
      </c>
      <c r="G267" s="9" t="n">
        <v>3.8</v>
      </c>
      <c r="H267" s="9" t="n">
        <v>2004</v>
      </c>
      <c r="I267" s="9" t="inlineStr">
        <is>
          <t>Cupertino, CA</t>
        </is>
      </c>
      <c r="J267" s="9" t="b">
        <v>0</v>
      </c>
      <c r="K267" s="9" t="b">
        <v>0</v>
      </c>
      <c r="L267" s="9" t="b">
        <v>0</v>
      </c>
      <c r="M267" s="9" t="b">
        <v>1</v>
      </c>
      <c r="N267" s="9" t="n">
        <v>19</v>
      </c>
      <c r="O267" s="9" t="n">
        <v>135</v>
      </c>
      <c r="P267" s="9" t="n">
        <v>4</v>
      </c>
      <c r="Q267" s="9" t="n">
        <v>15</v>
      </c>
      <c r="R267" s="9" t="inlineStr">
        <is>
          <t>https://www.sugarcrm.com</t>
        </is>
      </c>
      <c r="S267">
        <f>IF(M267,N267,"")</f>
        <v/>
      </c>
    </row>
    <row r="268">
      <c r="A268" s="9" t="n">
        <v>220</v>
      </c>
      <c r="B268" s="9" t="inlineStr">
        <is>
          <t>Suno</t>
        </is>
      </c>
      <c r="C268" s="9" t="inlineStr">
        <is>
          <t>ai-voice</t>
        </is>
      </c>
      <c r="D268" s="9" t="inlineStr">
        <is>
          <t>AI Voice &amp; Audio</t>
        </is>
      </c>
      <c r="E268" s="9" t="n">
        <v>4.55</v>
      </c>
      <c r="F268" s="9" t="n">
        <v>4.6</v>
      </c>
      <c r="G268" s="9" t="n">
        <v>4.5</v>
      </c>
      <c r="H268" s="9" t="n">
        <v>2022</v>
      </c>
      <c r="I268" s="9" t="n">
        <v/>
      </c>
      <c r="J268" s="9" t="b">
        <v>1</v>
      </c>
      <c r="K268" s="9" t="b">
        <v>0</v>
      </c>
      <c r="L268" s="9" t="b">
        <v>0</v>
      </c>
      <c r="M268" s="9" t="b">
        <v>1</v>
      </c>
      <c r="N268" s="9" t="n">
        <v>8</v>
      </c>
      <c r="O268" s="9" t="n">
        <v>24</v>
      </c>
      <c r="P268" s="9" t="n">
        <v>3</v>
      </c>
      <c r="Q268" s="9" t="n">
        <v>3</v>
      </c>
      <c r="R268" s="9" t="inlineStr">
        <is>
          <t>https://suno.com</t>
        </is>
      </c>
      <c r="S268">
        <f>IF(M268,N268,"")</f>
        <v/>
      </c>
    </row>
    <row r="269">
      <c r="A269" s="9" t="n">
        <v>68</v>
      </c>
      <c r="B269" s="9" t="inlineStr">
        <is>
          <t>Super</t>
        </is>
      </c>
      <c r="C269" s="9" t="inlineStr">
        <is>
          <t>website-builders</t>
        </is>
      </c>
      <c r="D269" s="9" t="inlineStr">
        <is>
          <t>Website Builders</t>
        </is>
      </c>
      <c r="E269" s="9" t="n">
        <v>4.5</v>
      </c>
      <c r="F269" s="9" t="n">
        <v>4.5</v>
      </c>
      <c r="G269" s="9" t="n">
        <v>4.5</v>
      </c>
      <c r="H269" s="9" t="n">
        <v>2020</v>
      </c>
      <c r="I269" s="9" t="inlineStr">
        <is>
          <t>Remote</t>
        </is>
      </c>
      <c r="J269" s="9" t="b">
        <v>1</v>
      </c>
      <c r="K269" s="9" t="b">
        <v>0</v>
      </c>
      <c r="L269" s="9" t="b">
        <v>0</v>
      </c>
      <c r="M269" s="9" t="b">
        <v>1</v>
      </c>
      <c r="N269" s="9" t="n">
        <v>16</v>
      </c>
      <c r="O269" s="9" t="n">
        <v>50</v>
      </c>
      <c r="P269" s="9" t="n">
        <v>4</v>
      </c>
      <c r="Q269" s="9" t="n">
        <v>8</v>
      </c>
      <c r="R269" s="9" t="inlineStr">
        <is>
          <t>https://super.so</t>
        </is>
      </c>
      <c r="S269">
        <f>IF(M269,N269,"")</f>
        <v/>
      </c>
    </row>
    <row r="270">
      <c r="A270" s="9" t="n">
        <v>261</v>
      </c>
      <c r="B270" s="9" t="inlineStr">
        <is>
          <t>Surfer SEO</t>
        </is>
      </c>
      <c r="C270" s="9" t="inlineStr">
        <is>
          <t>ai-writing</t>
        </is>
      </c>
      <c r="D270" s="9" t="inlineStr">
        <is>
          <t>AI Writing</t>
        </is>
      </c>
      <c r="E270" s="9" t="n">
        <v>4.85</v>
      </c>
      <c r="F270" s="9" t="n">
        <v>4.8</v>
      </c>
      <c r="G270" s="9" t="n">
        <v>4.9</v>
      </c>
      <c r="H270" s="9" t="n">
        <v>2017</v>
      </c>
      <c r="I270" s="9" t="n">
        <v/>
      </c>
      <c r="J270" s="9" t="b">
        <v>0</v>
      </c>
      <c r="K270" s="9" t="b">
        <v>0</v>
      </c>
      <c r="L270" s="9" t="b">
        <v>1</v>
      </c>
      <c r="M270" s="9" t="b">
        <v>1</v>
      </c>
      <c r="N270" s="9" t="n">
        <v>99</v>
      </c>
      <c r="O270" s="9" t="n">
        <v>182</v>
      </c>
      <c r="P270" s="9" t="n">
        <v>3</v>
      </c>
      <c r="Q270" s="9" t="n">
        <v>12</v>
      </c>
      <c r="R270" s="9" t="inlineStr">
        <is>
          <t>https://surferseo.com</t>
        </is>
      </c>
      <c r="S270">
        <f>IF(M270,N270,"")</f>
        <v/>
      </c>
    </row>
    <row r="271">
      <c r="A271" s="9" t="n">
        <v>164</v>
      </c>
      <c r="B271" s="9" t="inlineStr">
        <is>
          <t>Surfshark</t>
        </is>
      </c>
      <c r="C271" s="9" t="inlineStr">
        <is>
          <t>vpn</t>
        </is>
      </c>
      <c r="D271" s="9" t="inlineStr">
        <is>
          <t>VPN</t>
        </is>
      </c>
      <c r="E271" s="9" t="n">
        <v>4.4</v>
      </c>
      <c r="F271" s="9" t="n">
        <v>4.5</v>
      </c>
      <c r="G271" s="9" t="n">
        <v>4.3</v>
      </c>
      <c r="H271" s="9" t="n">
        <v>2018</v>
      </c>
      <c r="I271" s="9" t="n">
        <v/>
      </c>
      <c r="J271" s="9" t="b">
        <v>0</v>
      </c>
      <c r="K271" s="9" t="b">
        <v>0</v>
      </c>
      <c r="L271" s="9" t="b">
        <v>0</v>
      </c>
      <c r="M271" s="9" t="b">
        <v>1</v>
      </c>
      <c r="N271" s="9" t="n">
        <v>2.49</v>
      </c>
      <c r="O271" s="9" t="n">
        <v>5.99</v>
      </c>
      <c r="P271" s="9" t="n">
        <v>3</v>
      </c>
      <c r="Q271" s="9" t="n">
        <v>13</v>
      </c>
      <c r="R271" s="9" t="inlineStr">
        <is>
          <t>https://surfshark.com</t>
        </is>
      </c>
      <c r="S271">
        <f>IF(M271,N271,"")</f>
        <v/>
      </c>
    </row>
    <row r="272">
      <c r="A272" s="9" t="n">
        <v>326</v>
      </c>
      <c r="B272" s="9" t="inlineStr">
        <is>
          <t>SushiSwap</t>
        </is>
      </c>
      <c r="C272" s="9" t="inlineStr">
        <is>
          <t>dex</t>
        </is>
      </c>
      <c r="D272" s="9" t="inlineStr">
        <is>
          <t>DEX</t>
        </is>
      </c>
      <c r="E272" s="9" t="n">
        <v/>
      </c>
      <c r="F272" s="9" t="n">
        <v/>
      </c>
      <c r="G272" s="9" t="n">
        <v/>
      </c>
      <c r="H272" s="9" t="n">
        <v>2020</v>
      </c>
      <c r="I272" s="9" t="inlineStr">
        <is>
          <t>Decentralized</t>
        </is>
      </c>
      <c r="J272" s="9" t="b">
        <v>1</v>
      </c>
      <c r="K272" s="9" t="b">
        <v>0</v>
      </c>
      <c r="L272" s="9" t="b">
        <v>0</v>
      </c>
      <c r="M272" s="9" t="b">
        <v>0</v>
      </c>
      <c r="N272" s="9" t="n">
        <v>0.01</v>
      </c>
      <c r="O272" s="9" t="n">
        <v>1</v>
      </c>
      <c r="P272" s="9" t="n">
        <v>5</v>
      </c>
      <c r="Q272" s="9" t="n">
        <v>11</v>
      </c>
      <c r="R272" s="9" t="inlineStr">
        <is>
          <t>https://www.sushi.com</t>
        </is>
      </c>
      <c r="S272">
        <f>IF(M272,N272,"")</f>
        <v/>
      </c>
    </row>
    <row r="273">
      <c r="A273" s="9" t="n">
        <v>172</v>
      </c>
      <c r="B273" s="9" t="inlineStr">
        <is>
          <t>Synthesia</t>
        </is>
      </c>
      <c r="C273" s="9" t="inlineStr">
        <is>
          <t>ai-video</t>
        </is>
      </c>
      <c r="D273" s="9" t="inlineStr">
        <is>
          <t>AI Video</t>
        </is>
      </c>
      <c r="E273" s="9" t="n">
        <v>4.7</v>
      </c>
      <c r="F273" s="9" t="n">
        <v>4.7</v>
      </c>
      <c r="G273" s="9" t="n">
        <v>4.7</v>
      </c>
      <c r="H273" s="9" t="n">
        <v>2017</v>
      </c>
      <c r="I273" s="9" t="n">
        <v/>
      </c>
      <c r="J273" s="9" t="b">
        <v>1</v>
      </c>
      <c r="K273" s="9" t="b">
        <v>0</v>
      </c>
      <c r="L273" s="9" t="b">
        <v>1</v>
      </c>
      <c r="M273" s="9" t="b">
        <v>1</v>
      </c>
      <c r="N273" s="9" t="n">
        <v>29</v>
      </c>
      <c r="O273" s="9" t="n">
        <v>89</v>
      </c>
      <c r="P273" s="9" t="n">
        <v>4</v>
      </c>
      <c r="Q273" s="9" t="n">
        <v>13</v>
      </c>
      <c r="R273" s="9" t="inlineStr">
        <is>
          <t>https://synthesia.io</t>
        </is>
      </c>
      <c r="S273">
        <f>IF(M273,N273,"")</f>
        <v/>
      </c>
    </row>
    <row r="274">
      <c r="A274" s="9" t="n">
        <v>204</v>
      </c>
      <c r="B274" s="9" t="inlineStr">
        <is>
          <t>Tabnine</t>
        </is>
      </c>
      <c r="C274" s="9" t="inlineStr">
        <is>
          <t>ai-coding</t>
        </is>
      </c>
      <c r="D274" s="9" t="inlineStr">
        <is>
          <t>AI Coding</t>
        </is>
      </c>
      <c r="E274" s="9" t="n">
        <v>4.15</v>
      </c>
      <c r="F274" s="9" t="n">
        <v>4.1</v>
      </c>
      <c r="G274" s="9" t="n">
        <v>4.2</v>
      </c>
      <c r="H274" s="9" t="n">
        <v>2017</v>
      </c>
      <c r="I274" s="9" t="n">
        <v/>
      </c>
      <c r="J274" s="9" t="b">
        <v>1</v>
      </c>
      <c r="K274" s="9" t="b">
        <v>0</v>
      </c>
      <c r="L274" s="9" t="b">
        <v>0</v>
      </c>
      <c r="M274" s="9" t="b">
        <v>1</v>
      </c>
      <c r="N274" s="9" t="n">
        <v>12</v>
      </c>
      <c r="O274" s="9" t="n">
        <v>39</v>
      </c>
      <c r="P274" s="9" t="n">
        <v>3</v>
      </c>
      <c r="Q274" s="9" t="n">
        <v>10</v>
      </c>
      <c r="R274" s="9" t="inlineStr">
        <is>
          <t>https://tabnine.com</t>
        </is>
      </c>
      <c r="S274">
        <f>IF(M274,N274,"")</f>
        <v/>
      </c>
    </row>
    <row r="275">
      <c r="A275" s="9" t="n">
        <v>330</v>
      </c>
      <c r="B275" s="9" t="inlineStr">
        <is>
          <t>Tangem</t>
        </is>
      </c>
      <c r="C275" s="9" t="inlineStr">
        <is>
          <t>crypto-wallets</t>
        </is>
      </c>
      <c r="D275" s="9" t="inlineStr">
        <is>
          <t>Crypto Wallets</t>
        </is>
      </c>
      <c r="E275" s="9" t="n">
        <v/>
      </c>
      <c r="F275" s="9" t="n">
        <v/>
      </c>
      <c r="G275" s="9" t="n">
        <v/>
      </c>
      <c r="H275" s="9" t="n">
        <v>2017</v>
      </c>
      <c r="I275" s="9" t="inlineStr">
        <is>
          <t>Zug, Switzerland</t>
        </is>
      </c>
      <c r="J275" s="9" t="b">
        <v>0</v>
      </c>
      <c r="K275" s="9" t="b">
        <v>0</v>
      </c>
      <c r="L275" s="9" t="b">
        <v>0</v>
      </c>
      <c r="M275" s="9" t="b">
        <v>1</v>
      </c>
      <c r="N275" s="9" t="n">
        <v>54.99</v>
      </c>
      <c r="O275" s="9" t="n">
        <v>69.98999999999999</v>
      </c>
      <c r="P275" s="9" t="n">
        <v>2</v>
      </c>
      <c r="Q275" s="9" t="n">
        <v>12</v>
      </c>
      <c r="R275" s="9" t="inlineStr">
        <is>
          <t>https://tangem.com</t>
        </is>
      </c>
      <c r="S275">
        <f>IF(M275,N275,"")</f>
        <v/>
      </c>
    </row>
    <row r="276">
      <c r="A276" s="9" t="n">
        <v>9</v>
      </c>
      <c r="B276" s="9" t="inlineStr">
        <is>
          <t>Teamwork</t>
        </is>
      </c>
      <c r="C276" s="9" t="inlineStr">
        <is>
          <t>project-management</t>
        </is>
      </c>
      <c r="D276" s="9" t="inlineStr">
        <is>
          <t>Project Management</t>
        </is>
      </c>
      <c r="E276" s="9" t="n">
        <v>4.45</v>
      </c>
      <c r="F276" s="9" t="n">
        <v>4.4</v>
      </c>
      <c r="G276" s="9" t="n">
        <v>4.5</v>
      </c>
      <c r="H276" s="9" t="n">
        <v>2007</v>
      </c>
      <c r="I276" s="9" t="inlineStr">
        <is>
          <t>Cork, Ireland</t>
        </is>
      </c>
      <c r="J276" s="9" t="b">
        <v>1</v>
      </c>
      <c r="K276" s="9" t="b">
        <v>0</v>
      </c>
      <c r="L276" s="9" t="b">
        <v>0</v>
      </c>
      <c r="M276" s="9" t="b">
        <v>1</v>
      </c>
      <c r="N276" s="9" t="n">
        <v>13.99</v>
      </c>
      <c r="O276" s="9" t="n">
        <v>69.98999999999999</v>
      </c>
      <c r="P276" s="9" t="n">
        <v>4</v>
      </c>
      <c r="Q276" s="9" t="n">
        <v>10</v>
      </c>
      <c r="R276" s="9" t="inlineStr">
        <is>
          <t>https://www.teamwork.com</t>
        </is>
      </c>
      <c r="S276">
        <f>IF(M276,N276,"")</f>
        <v/>
      </c>
    </row>
    <row r="277">
      <c r="A277" s="9" t="n">
        <v>256</v>
      </c>
      <c r="B277" s="9" t="inlineStr">
        <is>
          <t>Tidio</t>
        </is>
      </c>
      <c r="C277" s="9" t="inlineStr">
        <is>
          <t>ai-assistants</t>
        </is>
      </c>
      <c r="D277" s="9" t="inlineStr">
        <is>
          <t>AI Assistants</t>
        </is>
      </c>
      <c r="E277" s="9" t="n">
        <v>4.7</v>
      </c>
      <c r="F277" s="9" t="n">
        <v>4.7</v>
      </c>
      <c r="G277" s="9" t="n">
        <v>4.7</v>
      </c>
      <c r="H277" s="9" t="n">
        <v>2019</v>
      </c>
      <c r="I277" s="9" t="n">
        <v/>
      </c>
      <c r="J277" s="9" t="b">
        <v>1</v>
      </c>
      <c r="K277" s="9" t="b">
        <v>0</v>
      </c>
      <c r="L277" s="9" t="b">
        <v>0</v>
      </c>
      <c r="M277" s="9" t="b">
        <v>1</v>
      </c>
      <c r="N277" s="9" t="n">
        <v>39</v>
      </c>
      <c r="O277" s="9" t="n">
        <v>59</v>
      </c>
      <c r="P277" s="9" t="n">
        <v>3</v>
      </c>
      <c r="Q277" s="9" t="n">
        <v>10</v>
      </c>
      <c r="R277" s="9" t="inlineStr">
        <is>
          <t>https://tidio.com</t>
        </is>
      </c>
      <c r="S277">
        <f>IF(M277,N277,"")</f>
        <v/>
      </c>
    </row>
    <row r="278">
      <c r="A278" s="9" t="n">
        <v>144</v>
      </c>
      <c r="B278" s="9" t="inlineStr">
        <is>
          <t>Tilda</t>
        </is>
      </c>
      <c r="C278" s="9" t="inlineStr">
        <is>
          <t>website-builders</t>
        </is>
      </c>
      <c r="D278" s="9" t="inlineStr">
        <is>
          <t>Website Builders</t>
        </is>
      </c>
      <c r="E278" s="9" t="n">
        <v>4.6</v>
      </c>
      <c r="F278" s="9" t="n">
        <v>4.6</v>
      </c>
      <c r="G278" s="9" t="n">
        <v>4.6</v>
      </c>
      <c r="H278" s="9" t="n">
        <v>2014</v>
      </c>
      <c r="I278" s="9" t="inlineStr">
        <is>
          <t>Berlin, Germany</t>
        </is>
      </c>
      <c r="J278" s="9" t="b">
        <v>1</v>
      </c>
      <c r="K278" s="9" t="b">
        <v>0</v>
      </c>
      <c r="L278" s="9" t="b">
        <v>0</v>
      </c>
      <c r="M278" s="9" t="b">
        <v>1</v>
      </c>
      <c r="N278" s="9" t="n">
        <v>25</v>
      </c>
      <c r="O278" s="9" t="n">
        <v>45</v>
      </c>
      <c r="P278" s="9" t="n">
        <v>3</v>
      </c>
      <c r="Q278" s="9" t="n">
        <v>12</v>
      </c>
      <c r="R278" s="9" t="inlineStr">
        <is>
          <t>https://tilda.cc</t>
        </is>
      </c>
      <c r="S278">
        <f>IF(M278,N278,"")</f>
        <v/>
      </c>
    </row>
    <row r="279">
      <c r="A279" s="9" t="n">
        <v>15</v>
      </c>
      <c r="B279" s="9" t="inlineStr">
        <is>
          <t>Todoist</t>
        </is>
      </c>
      <c r="C279" s="9" t="inlineStr">
        <is>
          <t>project-management</t>
        </is>
      </c>
      <c r="D279" s="9" t="inlineStr">
        <is>
          <t>Project Management</t>
        </is>
      </c>
      <c r="E279" s="9" t="n">
        <v>4.5</v>
      </c>
      <c r="F279" s="9" t="n">
        <v>4.4</v>
      </c>
      <c r="G279" s="9" t="n">
        <v>4.6</v>
      </c>
      <c r="H279" s="9" t="n">
        <v>2007</v>
      </c>
      <c r="I279" s="9" t="inlineStr">
        <is>
          <t>Remote (founded in Brazil)</t>
        </is>
      </c>
      <c r="J279" s="9" t="b">
        <v>1</v>
      </c>
      <c r="K279" s="9" t="b">
        <v>0</v>
      </c>
      <c r="L279" s="9" t="b">
        <v>0</v>
      </c>
      <c r="M279" s="9" t="b">
        <v>1</v>
      </c>
      <c r="N279" s="9" t="n">
        <v>5</v>
      </c>
      <c r="O279" s="9" t="n">
        <v>8</v>
      </c>
      <c r="P279" s="9" t="n">
        <v>3</v>
      </c>
      <c r="Q279" s="9" t="n">
        <v>8</v>
      </c>
      <c r="R279" s="9" t="inlineStr">
        <is>
          <t>https://todoist.com</t>
        </is>
      </c>
      <c r="S279">
        <f>IF(M279,N279,"")</f>
        <v/>
      </c>
    </row>
    <row r="280">
      <c r="A280" s="9" t="n">
        <v>279</v>
      </c>
      <c r="B280" s="9" t="inlineStr">
        <is>
          <t>Token Terminal</t>
        </is>
      </c>
      <c r="C280" s="9" t="inlineStr">
        <is>
          <t>crypto-analytics</t>
        </is>
      </c>
      <c r="D280" s="9" t="inlineStr">
        <is>
          <t>Crypto Analytics</t>
        </is>
      </c>
      <c r="E280" s="9" t="n">
        <v>4.2</v>
      </c>
      <c r="F280" s="9" t="n">
        <v>4.2</v>
      </c>
      <c r="G280" s="9" t="n">
        <v/>
      </c>
      <c r="H280" s="9" t="n">
        <v>2020</v>
      </c>
      <c r="I280" s="9" t="inlineStr">
        <is>
          <t>Helsinki, Finland</t>
        </is>
      </c>
      <c r="J280" s="9" t="b">
        <v>1</v>
      </c>
      <c r="K280" s="9" t="b">
        <v>0</v>
      </c>
      <c r="L280" s="9" t="b">
        <v>1</v>
      </c>
      <c r="M280" s="9" t="b">
        <v>1</v>
      </c>
      <c r="N280" s="9" t="n">
        <v>350</v>
      </c>
      <c r="O280" s="9" t="n">
        <v>350</v>
      </c>
      <c r="P280" s="9" t="n">
        <v>3</v>
      </c>
      <c r="Q280" s="9" t="n">
        <v>5</v>
      </c>
      <c r="R280" s="9" t="inlineStr">
        <is>
          <t>https://tokenterminal.com</t>
        </is>
      </c>
      <c r="S280">
        <f>IF(M280,N280,"")</f>
        <v/>
      </c>
    </row>
    <row r="281">
      <c r="A281" s="9" t="n">
        <v>283</v>
      </c>
      <c r="B281" s="9" t="inlineStr">
        <is>
          <t>TokenTax</t>
        </is>
      </c>
      <c r="C281" s="9" t="inlineStr">
        <is>
          <t>crypto-tax</t>
        </is>
      </c>
      <c r="D281" s="9" t="inlineStr">
        <is>
          <t>Crypto Tax</t>
        </is>
      </c>
      <c r="E281" s="9" t="n">
        <v>4</v>
      </c>
      <c r="F281" s="9" t="n">
        <v>4</v>
      </c>
      <c r="G281" s="9" t="n">
        <v/>
      </c>
      <c r="H281" s="9" t="n">
        <v>2017</v>
      </c>
      <c r="I281" s="9" t="inlineStr">
        <is>
          <t>New York, USA</t>
        </is>
      </c>
      <c r="J281" s="9" t="b">
        <v>0</v>
      </c>
      <c r="K281" s="9" t="b">
        <v>0</v>
      </c>
      <c r="L281" s="9" t="b">
        <v>0</v>
      </c>
      <c r="M281" s="9" t="b">
        <v>1</v>
      </c>
      <c r="N281" s="9" t="n">
        <v>49</v>
      </c>
      <c r="O281" s="9" t="n">
        <v>3499</v>
      </c>
      <c r="P281" s="9" t="n">
        <v>3</v>
      </c>
      <c r="Q281" s="9" t="n">
        <v>9</v>
      </c>
      <c r="R281" s="9" t="inlineStr">
        <is>
          <t>https://tokentax.co</t>
        </is>
      </c>
      <c r="S281">
        <f>IF(M281,N281,"")</f>
        <v/>
      </c>
    </row>
    <row r="282">
      <c r="A282" s="9" t="n">
        <v>228</v>
      </c>
      <c r="B282" s="9" t="inlineStr">
        <is>
          <t>Tome</t>
        </is>
      </c>
      <c r="C282" s="9" t="inlineStr">
        <is>
          <t>ai-productivity</t>
        </is>
      </c>
      <c r="D282" s="9" t="inlineStr">
        <is>
          <t>AI Productivity</t>
        </is>
      </c>
      <c r="E282" s="9" t="n">
        <v>4.45</v>
      </c>
      <c r="F282" s="9" t="n">
        <v>4.5</v>
      </c>
      <c r="G282" s="9" t="n">
        <v>4.4</v>
      </c>
      <c r="H282" s="9" t="n">
        <v>2021</v>
      </c>
      <c r="I282" s="9" t="n">
        <v/>
      </c>
      <c r="J282" s="9" t="b">
        <v>1</v>
      </c>
      <c r="K282" s="9" t="b">
        <v>0</v>
      </c>
      <c r="L282" s="9" t="b">
        <v>1</v>
      </c>
      <c r="M282" s="9" t="b">
        <v>1</v>
      </c>
      <c r="N282" s="9" t="n">
        <v>16</v>
      </c>
      <c r="O282" s="9" t="n">
        <v>16</v>
      </c>
      <c r="P282" s="9" t="n">
        <v>3</v>
      </c>
      <c r="Q282" s="9" t="n">
        <v>9</v>
      </c>
      <c r="R282" s="9" t="inlineStr">
        <is>
          <t>https://tome.app</t>
        </is>
      </c>
      <c r="S282">
        <f>IF(M282,N282,"")</f>
        <v/>
      </c>
    </row>
    <row r="283">
      <c r="A283" s="9" t="n">
        <v>201</v>
      </c>
      <c r="B283" s="9" t="inlineStr">
        <is>
          <t>Topaz Labs AI</t>
        </is>
      </c>
      <c r="C283" s="9" t="inlineStr">
        <is>
          <t>ai-image</t>
        </is>
      </c>
      <c r="D283" s="9" t="inlineStr">
        <is>
          <t>AI Image Generators</t>
        </is>
      </c>
      <c r="E283" s="9" t="n">
        <v>4.75</v>
      </c>
      <c r="F283" s="9" t="n">
        <v>4.7</v>
      </c>
      <c r="G283" s="9" t="n">
        <v>4.8</v>
      </c>
      <c r="H283" s="9" t="n">
        <v>2013</v>
      </c>
      <c r="I283" s="9" t="n">
        <v/>
      </c>
      <c r="J283" s="9" t="b">
        <v>0</v>
      </c>
      <c r="K283" s="9" t="b">
        <v>0</v>
      </c>
      <c r="L283" s="9" t="b">
        <v>0</v>
      </c>
      <c r="M283" s="9" t="b">
        <v>1</v>
      </c>
      <c r="N283" s="9" t="n">
        <v>199</v>
      </c>
      <c r="O283" s="9" t="n">
        <v>399</v>
      </c>
      <c r="P283" s="9" t="n">
        <v>3</v>
      </c>
      <c r="Q283" s="9" t="n">
        <v>7</v>
      </c>
      <c r="R283" s="9" t="inlineStr">
        <is>
          <t>https://topazlabs.com</t>
        </is>
      </c>
      <c r="S283">
        <f>IF(M283,N283,"")</f>
        <v/>
      </c>
    </row>
    <row r="284">
      <c r="A284" s="9" t="n">
        <v>270</v>
      </c>
      <c r="B284" s="9" t="inlineStr">
        <is>
          <t>TradeSanta</t>
        </is>
      </c>
      <c r="C284" s="9" t="inlineStr">
        <is>
          <t>crypto-trading-bots</t>
        </is>
      </c>
      <c r="D284" s="9" t="inlineStr">
        <is>
          <t>Crypto Trading Bots</t>
        </is>
      </c>
      <c r="E284" s="9" t="n">
        <v>3.9</v>
      </c>
      <c r="F284" s="9" t="n">
        <v>3.9</v>
      </c>
      <c r="G284" s="9" t="n">
        <v/>
      </c>
      <c r="H284" s="9" t="n">
        <v>2018</v>
      </c>
      <c r="I284" s="9" t="inlineStr">
        <is>
          <t>Unknown</t>
        </is>
      </c>
      <c r="J284" s="9" t="b">
        <v>1</v>
      </c>
      <c r="K284" s="9" t="b">
        <v>0</v>
      </c>
      <c r="L284" s="9" t="b">
        <v>0</v>
      </c>
      <c r="M284" s="9" t="b">
        <v>1</v>
      </c>
      <c r="N284" s="9" t="n">
        <v>18</v>
      </c>
      <c r="O284" s="9" t="n">
        <v>45</v>
      </c>
      <c r="P284" s="9" t="n">
        <v>4</v>
      </c>
      <c r="Q284" s="9" t="n">
        <v>8</v>
      </c>
      <c r="R284" s="9" t="inlineStr">
        <is>
          <t>https://tradesanta.com</t>
        </is>
      </c>
      <c r="S284">
        <f>IF(M284,N284,"")</f>
        <v/>
      </c>
    </row>
    <row r="285">
      <c r="A285" s="9" t="n">
        <v>328</v>
      </c>
      <c r="B285" s="9" t="inlineStr">
        <is>
          <t>Trader Joe</t>
        </is>
      </c>
      <c r="C285" s="9" t="inlineStr">
        <is>
          <t>dex</t>
        </is>
      </c>
      <c r="D285" s="9" t="inlineStr">
        <is>
          <t>DEX</t>
        </is>
      </c>
      <c r="E285" s="9" t="n">
        <v/>
      </c>
      <c r="F285" s="9" t="n">
        <v/>
      </c>
      <c r="G285" s="9" t="n">
        <v/>
      </c>
      <c r="H285" s="9" t="n">
        <v>2021</v>
      </c>
      <c r="I285" s="9" t="inlineStr">
        <is>
          <t>Decentralized</t>
        </is>
      </c>
      <c r="J285" s="9" t="b">
        <v>1</v>
      </c>
      <c r="K285" s="9" t="b">
        <v>0</v>
      </c>
      <c r="L285" s="9" t="b">
        <v>0</v>
      </c>
      <c r="M285" s="9" t="b">
        <v>0</v>
      </c>
      <c r="N285" s="9" t="n">
        <v>0.1</v>
      </c>
      <c r="O285" s="9" t="n">
        <v>0.5</v>
      </c>
      <c r="P285" s="9" t="n">
        <v>5</v>
      </c>
      <c r="Q285" s="9" t="n">
        <v>11</v>
      </c>
      <c r="R285" s="9" t="inlineStr">
        <is>
          <t>https://traderjoexyz.com</t>
        </is>
      </c>
      <c r="S285">
        <f>IF(M285,N285,"")</f>
        <v/>
      </c>
    </row>
    <row r="286">
      <c r="A286" s="9" t="n">
        <v>5</v>
      </c>
      <c r="B286" s="9" t="inlineStr">
        <is>
          <t>Trello</t>
        </is>
      </c>
      <c r="C286" s="9" t="inlineStr">
        <is>
          <t>project-management</t>
        </is>
      </c>
      <c r="D286" s="9" t="inlineStr">
        <is>
          <t>Project Management</t>
        </is>
      </c>
      <c r="E286" s="9" t="n">
        <v>4.45</v>
      </c>
      <c r="F286" s="9" t="n">
        <v>4.4</v>
      </c>
      <c r="G286" s="9" t="n">
        <v>4.5</v>
      </c>
      <c r="H286" s="9" t="n">
        <v>2011</v>
      </c>
      <c r="I286" s="9" t="inlineStr">
        <is>
          <t>New York, NY (Atlassian)</t>
        </is>
      </c>
      <c r="J286" s="9" t="b">
        <v>1</v>
      </c>
      <c r="K286" s="9" t="b">
        <v>0</v>
      </c>
      <c r="L286" s="9" t="b">
        <v>0</v>
      </c>
      <c r="M286" s="9" t="b">
        <v>1</v>
      </c>
      <c r="N286" s="9" t="n">
        <v>5</v>
      </c>
      <c r="O286" s="9" t="n">
        <v>17.5</v>
      </c>
      <c r="P286" s="9" t="n">
        <v>4</v>
      </c>
      <c r="Q286" s="9" t="n">
        <v>10</v>
      </c>
      <c r="R286" s="9" t="inlineStr">
        <is>
          <t>https://trello.com</t>
        </is>
      </c>
      <c r="S286">
        <f>IF(M286,N286,"")</f>
        <v/>
      </c>
    </row>
    <row r="287">
      <c r="A287" s="9" t="n">
        <v>317</v>
      </c>
      <c r="B287" s="9" t="inlineStr">
        <is>
          <t>Trezor</t>
        </is>
      </c>
      <c r="C287" s="9" t="inlineStr">
        <is>
          <t>crypto-wallets</t>
        </is>
      </c>
      <c r="D287" s="9" t="inlineStr">
        <is>
          <t>Crypto Wallets</t>
        </is>
      </c>
      <c r="E287" s="9" t="n">
        <v>4.25</v>
      </c>
      <c r="F287" s="9" t="n">
        <v>4.3</v>
      </c>
      <c r="G287" s="9" t="n">
        <v>4.2</v>
      </c>
      <c r="H287" s="9" t="n">
        <v>2013</v>
      </c>
      <c r="I287" s="9" t="inlineStr">
        <is>
          <t>Prague, Czech Republic</t>
        </is>
      </c>
      <c r="J287" s="9" t="b">
        <v>0</v>
      </c>
      <c r="K287" s="9" t="b">
        <v>0</v>
      </c>
      <c r="L287" s="9" t="b">
        <v>0</v>
      </c>
      <c r="M287" s="9" t="b">
        <v>1</v>
      </c>
      <c r="N287" s="9" t="n">
        <v>79</v>
      </c>
      <c r="O287" s="9" t="n">
        <v>169</v>
      </c>
      <c r="P287" s="9" t="n">
        <v>2</v>
      </c>
      <c r="Q287" s="9" t="n">
        <v>6</v>
      </c>
      <c r="R287" s="9" t="inlineStr">
        <is>
          <t>https://trezor.io</t>
        </is>
      </c>
      <c r="S287">
        <f>IF(M287,N287,"")</f>
        <v/>
      </c>
    </row>
    <row r="288">
      <c r="A288" s="9" t="n">
        <v>308</v>
      </c>
      <c r="B288" s="9" t="inlineStr">
        <is>
          <t>Trojan</t>
        </is>
      </c>
      <c r="C288" s="9" t="inlineStr">
        <is>
          <t>crypto-telegram-bots</t>
        </is>
      </c>
      <c r="D288" s="9" t="inlineStr">
        <is>
          <t>Crypto Telegram Bots</t>
        </is>
      </c>
      <c r="E288" s="9" t="n">
        <v>4.2</v>
      </c>
      <c r="F288" s="9" t="n">
        <v>4.2</v>
      </c>
      <c r="G288" s="9" t="n">
        <v/>
      </c>
      <c r="H288" s="9" t="n">
        <v>2024</v>
      </c>
      <c r="I288" s="9" t="inlineStr">
        <is>
          <t>Unknown</t>
        </is>
      </c>
      <c r="J288" s="9" t="b">
        <v>1</v>
      </c>
      <c r="K288" s="9" t="b">
        <v>0</v>
      </c>
      <c r="L288" s="9" t="b">
        <v>0</v>
      </c>
      <c r="M288" s="9" t="b">
        <v>1</v>
      </c>
      <c r="N288" s="9" t="n">
        <v/>
      </c>
      <c r="O288" s="9" t="n">
        <v>0</v>
      </c>
      <c r="P288" s="9" t="n">
        <v>1</v>
      </c>
      <c r="Q288" s="9" t="n">
        <v>7</v>
      </c>
      <c r="R288" s="9" t="inlineStr">
        <is>
          <t>https://trojan.app</t>
        </is>
      </c>
      <c r="S288">
        <f>IF(M288,N288,"")</f>
        <v/>
      </c>
    </row>
    <row r="289">
      <c r="A289" s="9" t="n">
        <v>315</v>
      </c>
      <c r="B289" s="9" t="inlineStr">
        <is>
          <t>Trust Wallet</t>
        </is>
      </c>
      <c r="C289" s="9" t="inlineStr">
        <is>
          <t>crypto-wallets</t>
        </is>
      </c>
      <c r="D289" s="9" t="inlineStr">
        <is>
          <t>Crypto Wallets</t>
        </is>
      </c>
      <c r="E289" s="9" t="n">
        <v>4.2</v>
      </c>
      <c r="F289" s="9" t="n">
        <v>4.2</v>
      </c>
      <c r="G289" s="9" t="n">
        <v/>
      </c>
      <c r="H289" s="9" t="n">
        <v>2017</v>
      </c>
      <c r="I289" s="9" t="inlineStr">
        <is>
          <t>Binance (Global)</t>
        </is>
      </c>
      <c r="J289" s="9" t="b">
        <v>1</v>
      </c>
      <c r="K289" s="9" t="b">
        <v>0</v>
      </c>
      <c r="L289" s="9" t="b">
        <v>0</v>
      </c>
      <c r="M289" s="9" t="b">
        <v>1</v>
      </c>
      <c r="N289" s="9" t="n">
        <v/>
      </c>
      <c r="O289" s="9" t="n">
        <v>0</v>
      </c>
      <c r="P289" s="9" t="n">
        <v>1</v>
      </c>
      <c r="Q289" s="9" t="n">
        <v>9</v>
      </c>
      <c r="R289" s="9" t="inlineStr">
        <is>
          <t>https://trustwallet.com</t>
        </is>
      </c>
      <c r="S289">
        <f>IF(M289,N289,"")</f>
        <v/>
      </c>
    </row>
    <row r="290">
      <c r="A290" s="9" t="n">
        <v>147</v>
      </c>
      <c r="B290" s="9" t="inlineStr">
        <is>
          <t>Twilio SendGrid</t>
        </is>
      </c>
      <c r="C290" s="9" t="inlineStr">
        <is>
          <t>email-marketing</t>
        </is>
      </c>
      <c r="D290" s="9" t="inlineStr">
        <is>
          <t>Email Marketing</t>
        </is>
      </c>
      <c r="E290" s="9" t="n">
        <v>4.1</v>
      </c>
      <c r="F290" s="9" t="n">
        <v>4</v>
      </c>
      <c r="G290" s="9" t="n">
        <v>4.2</v>
      </c>
      <c r="H290" s="9" t="n">
        <v>2009</v>
      </c>
      <c r="I290" s="9" t="inlineStr">
        <is>
          <t>Denver, CO (Twilio)</t>
        </is>
      </c>
      <c r="J290" s="9" t="b">
        <v>1</v>
      </c>
      <c r="K290" s="9" t="b">
        <v>0</v>
      </c>
      <c r="L290" s="9" t="b">
        <v>1</v>
      </c>
      <c r="M290" s="9" t="b">
        <v>1</v>
      </c>
      <c r="N290" s="9" t="n">
        <v>19.95</v>
      </c>
      <c r="O290" s="9" t="n">
        <v>89.95</v>
      </c>
      <c r="P290" s="9" t="n">
        <v>4</v>
      </c>
      <c r="Q290" s="9" t="n">
        <v>15</v>
      </c>
      <c r="R290" s="9" t="inlineStr">
        <is>
          <t>https://sendgrid.com</t>
        </is>
      </c>
      <c r="S290">
        <f>IF(M290,N290,"")</f>
        <v/>
      </c>
    </row>
    <row r="291">
      <c r="A291" s="9" t="n">
        <v>69</v>
      </c>
      <c r="B291" s="9" t="inlineStr">
        <is>
          <t>Typedream</t>
        </is>
      </c>
      <c r="C291" s="9" t="inlineStr">
        <is>
          <t>website-builders</t>
        </is>
      </c>
      <c r="D291" s="9" t="inlineStr">
        <is>
          <t>Website Builders</t>
        </is>
      </c>
      <c r="E291" s="9" t="n">
        <v>4.45</v>
      </c>
      <c r="F291" s="9" t="n">
        <v>4.4</v>
      </c>
      <c r="G291" s="9" t="n">
        <v>4.5</v>
      </c>
      <c r="H291" s="9" t="n">
        <v>2021</v>
      </c>
      <c r="I291" s="9" t="inlineStr">
        <is>
          <t>San Francisco, CA</t>
        </is>
      </c>
      <c r="J291" s="9" t="b">
        <v>1</v>
      </c>
      <c r="K291" s="9" t="b">
        <v>0</v>
      </c>
      <c r="L291" s="9" t="b">
        <v>0</v>
      </c>
      <c r="M291" s="9" t="b">
        <v>1</v>
      </c>
      <c r="N291" s="9" t="n">
        <v>15</v>
      </c>
      <c r="O291" s="9" t="n">
        <v>49</v>
      </c>
      <c r="P291" s="9" t="n">
        <v>4</v>
      </c>
      <c r="Q291" s="9" t="n">
        <v>10</v>
      </c>
      <c r="R291" s="9" t="inlineStr">
        <is>
          <t>https://typedream.com</t>
        </is>
      </c>
      <c r="S291">
        <f>IF(M291,N291,"")</f>
        <v/>
      </c>
    </row>
    <row r="292">
      <c r="A292" s="9" t="n">
        <v>221</v>
      </c>
      <c r="B292" s="9" t="inlineStr">
        <is>
          <t>Udio</t>
        </is>
      </c>
      <c r="C292" s="9" t="inlineStr">
        <is>
          <t>ai-voice</t>
        </is>
      </c>
      <c r="D292" s="9" t="inlineStr">
        <is>
          <t>AI Voice &amp; Audio</t>
        </is>
      </c>
      <c r="E292" s="9" t="n">
        <v>4.45</v>
      </c>
      <c r="F292" s="9" t="n">
        <v>4.5</v>
      </c>
      <c r="G292" s="9" t="n">
        <v>4.4</v>
      </c>
      <c r="H292" s="9" t="n">
        <v>2023</v>
      </c>
      <c r="I292" s="9" t="n">
        <v/>
      </c>
      <c r="J292" s="9" t="b">
        <v>1</v>
      </c>
      <c r="K292" s="9" t="b">
        <v>0</v>
      </c>
      <c r="L292" s="9" t="b">
        <v>0</v>
      </c>
      <c r="M292" s="9" t="b">
        <v>1</v>
      </c>
      <c r="N292" s="9" t="n">
        <v>10</v>
      </c>
      <c r="O292" s="9" t="n">
        <v>30</v>
      </c>
      <c r="P292" s="9" t="n">
        <v>3</v>
      </c>
      <c r="Q292" s="9" t="n">
        <v>5</v>
      </c>
      <c r="R292" s="9" t="inlineStr">
        <is>
          <t>https://udio.com</t>
        </is>
      </c>
      <c r="S292">
        <f>IF(M292,N292,"")</f>
        <v/>
      </c>
    </row>
    <row r="293">
      <c r="A293" s="9" t="n">
        <v>70</v>
      </c>
      <c r="B293" s="9" t="inlineStr">
        <is>
          <t>Unicorn Platform</t>
        </is>
      </c>
      <c r="C293" s="9" t="inlineStr">
        <is>
          <t>website-builders</t>
        </is>
      </c>
      <c r="D293" s="9" t="inlineStr">
        <is>
          <t>Website Builders</t>
        </is>
      </c>
      <c r="E293" s="9" t="n">
        <v>4.75</v>
      </c>
      <c r="F293" s="9" t="n">
        <v>4.7</v>
      </c>
      <c r="G293" s="9" t="n">
        <v>4.8</v>
      </c>
      <c r="H293" s="9" t="n">
        <v>2019</v>
      </c>
      <c r="I293" s="9" t="inlineStr">
        <is>
          <t>Remote</t>
        </is>
      </c>
      <c r="J293" s="9" t="b">
        <v>1</v>
      </c>
      <c r="K293" s="9" t="b">
        <v>0</v>
      </c>
      <c r="L293" s="9" t="b">
        <v>0</v>
      </c>
      <c r="M293" s="9" t="b">
        <v>1</v>
      </c>
      <c r="N293" s="9" t="n">
        <v>14</v>
      </c>
      <c r="O293" s="9" t="n">
        <v>49</v>
      </c>
      <c r="P293" s="9" t="n">
        <v>3</v>
      </c>
      <c r="Q293" s="9" t="n">
        <v>7</v>
      </c>
      <c r="R293" s="9" t="inlineStr">
        <is>
          <t>https://unicornplatform.com</t>
        </is>
      </c>
      <c r="S293">
        <f>IF(M293,N293,"")</f>
        <v/>
      </c>
    </row>
    <row r="294">
      <c r="A294" s="9" t="n">
        <v>321</v>
      </c>
      <c r="B294" s="9" t="inlineStr">
        <is>
          <t>Uniswap</t>
        </is>
      </c>
      <c r="C294" s="9" t="inlineStr">
        <is>
          <t>dex</t>
        </is>
      </c>
      <c r="D294" s="9" t="inlineStr">
        <is>
          <t>DEX</t>
        </is>
      </c>
      <c r="E294" s="9" t="n">
        <v/>
      </c>
      <c r="F294" s="9" t="n">
        <v/>
      </c>
      <c r="G294" s="9" t="n">
        <v/>
      </c>
      <c r="H294" s="9" t="n">
        <v>2018</v>
      </c>
      <c r="I294" s="9" t="inlineStr">
        <is>
          <t>New York, USA</t>
        </is>
      </c>
      <c r="J294" s="9" t="b">
        <v>1</v>
      </c>
      <c r="K294" s="9" t="b">
        <v>0</v>
      </c>
      <c r="L294" s="9" t="b">
        <v>0</v>
      </c>
      <c r="M294" s="9" t="b">
        <v>0</v>
      </c>
      <c r="N294" s="9" t="n">
        <v>0.01</v>
      </c>
      <c r="O294" s="9" t="n">
        <v>1</v>
      </c>
      <c r="P294" s="9" t="n">
        <v>5</v>
      </c>
      <c r="Q294" s="9" t="n">
        <v>12</v>
      </c>
      <c r="R294" s="9" t="inlineStr">
        <is>
          <t>https://app.uniswap.org</t>
        </is>
      </c>
      <c r="S294">
        <f>IF(M294,N294,"")</f>
        <v/>
      </c>
    </row>
    <row r="295">
      <c r="A295" s="9" t="n">
        <v>77</v>
      </c>
      <c r="B295" s="9" t="inlineStr">
        <is>
          <t>Vercel</t>
        </is>
      </c>
      <c r="C295" s="9" t="inlineStr">
        <is>
          <t>cloud-hosting</t>
        </is>
      </c>
      <c r="D295" s="9" t="inlineStr">
        <is>
          <t>Cloud Hosting</t>
        </is>
      </c>
      <c r="E295" s="9" t="n">
        <v>4.6</v>
      </c>
      <c r="F295" s="9" t="n">
        <v>4.5</v>
      </c>
      <c r="G295" s="9" t="n">
        <v>4.7</v>
      </c>
      <c r="H295" s="9" t="n">
        <v>2015</v>
      </c>
      <c r="I295" s="9" t="inlineStr">
        <is>
          <t>San Francisco, CA</t>
        </is>
      </c>
      <c r="J295" s="9" t="b">
        <v>1</v>
      </c>
      <c r="K295" s="9" t="b">
        <v>0</v>
      </c>
      <c r="L295" s="9" t="b">
        <v>1</v>
      </c>
      <c r="M295" s="9" t="b">
        <v>1</v>
      </c>
      <c r="N295" s="9" t="n">
        <v>20</v>
      </c>
      <c r="O295" s="9" t="n">
        <v>20</v>
      </c>
      <c r="P295" s="9" t="n">
        <v>3</v>
      </c>
      <c r="Q295" s="9" t="n">
        <v>15</v>
      </c>
      <c r="R295" s="9" t="inlineStr">
        <is>
          <t>https://vercel.com</t>
        </is>
      </c>
      <c r="S295">
        <f>IF(M295,N295,"")</f>
        <v/>
      </c>
    </row>
    <row r="296">
      <c r="A296" s="9" t="n">
        <v>259</v>
      </c>
      <c r="B296" s="9" t="inlineStr">
        <is>
          <t>Voiceflow</t>
        </is>
      </c>
      <c r="C296" s="9" t="inlineStr">
        <is>
          <t>ai-assistants</t>
        </is>
      </c>
      <c r="D296" s="9" t="inlineStr">
        <is>
          <t>AI Assistants</t>
        </is>
      </c>
      <c r="E296" s="9" t="n">
        <v>4.45</v>
      </c>
      <c r="F296" s="9" t="n">
        <v>4.5</v>
      </c>
      <c r="G296" s="9" t="n">
        <v>4.4</v>
      </c>
      <c r="H296" s="9" t="n">
        <v>2019</v>
      </c>
      <c r="I296" s="9" t="n">
        <v/>
      </c>
      <c r="J296" s="9" t="b">
        <v>1</v>
      </c>
      <c r="K296" s="9" t="b">
        <v>0</v>
      </c>
      <c r="L296" s="9" t="b">
        <v>0</v>
      </c>
      <c r="M296" s="9" t="b">
        <v>1</v>
      </c>
      <c r="N296" s="9" t="n">
        <v>40</v>
      </c>
      <c r="O296" s="9" t="n">
        <v>125</v>
      </c>
      <c r="P296" s="9" t="n">
        <v>3</v>
      </c>
      <c r="Q296" s="9" t="n">
        <v>12</v>
      </c>
      <c r="R296" s="9" t="inlineStr">
        <is>
          <t>https://voiceflow.com</t>
        </is>
      </c>
      <c r="S296">
        <f>IF(M296,N296,"")</f>
        <v/>
      </c>
    </row>
    <row r="297">
      <c r="A297" s="9" t="n">
        <v>134</v>
      </c>
      <c r="B297" s="9" t="inlineStr">
        <is>
          <t>Vowel</t>
        </is>
      </c>
      <c r="C297" s="9" t="inlineStr">
        <is>
          <t>video-conferencing</t>
        </is>
      </c>
      <c r="D297" s="9" t="inlineStr">
        <is>
          <t>Video Conferencing</t>
        </is>
      </c>
      <c r="E297" s="9" t="n">
        <v>4.5</v>
      </c>
      <c r="F297" s="9" t="n">
        <v>4.5</v>
      </c>
      <c r="G297" s="9" t="n">
        <v>4.5</v>
      </c>
      <c r="H297" s="9" t="n">
        <v>2020</v>
      </c>
      <c r="I297" s="9" t="inlineStr">
        <is>
          <t>San Francisco, CA</t>
        </is>
      </c>
      <c r="J297" s="9" t="b">
        <v>1</v>
      </c>
      <c r="K297" s="9" t="b">
        <v>0</v>
      </c>
      <c r="L297" s="9" t="b">
        <v>1</v>
      </c>
      <c r="M297" s="9" t="b">
        <v>1</v>
      </c>
      <c r="N297" s="9" t="n">
        <v>16.49</v>
      </c>
      <c r="O297" s="9" t="n">
        <v>16.49</v>
      </c>
      <c r="P297" s="9" t="n">
        <v>3</v>
      </c>
      <c r="Q297" s="9" t="n">
        <v>9</v>
      </c>
      <c r="R297" s="9" t="inlineStr">
        <is>
          <t>https://www.vowel.com</t>
        </is>
      </c>
      <c r="S297">
        <f>IF(M297,N297,"")</f>
        <v/>
      </c>
    </row>
    <row r="298">
      <c r="A298" s="9" t="n">
        <v>83</v>
      </c>
      <c r="B298" s="9" t="inlineStr">
        <is>
          <t>Vultr</t>
        </is>
      </c>
      <c r="C298" s="9" t="inlineStr">
        <is>
          <t>cloud-hosting</t>
        </is>
      </c>
      <c r="D298" s="9" t="inlineStr">
        <is>
          <t>Cloud Hosting</t>
        </is>
      </c>
      <c r="E298" s="9" t="n">
        <v>4.45</v>
      </c>
      <c r="F298" s="9" t="n">
        <v>4.4</v>
      </c>
      <c r="G298" s="9" t="n">
        <v>4.5</v>
      </c>
      <c r="H298" s="9" t="n">
        <v>2014</v>
      </c>
      <c r="I298" s="9" t="inlineStr">
        <is>
          <t>Matawan, NJ</t>
        </is>
      </c>
      <c r="J298" s="9" t="b">
        <v>1</v>
      </c>
      <c r="K298" s="9" t="b">
        <v>0</v>
      </c>
      <c r="L298" s="9" t="b">
        <v>0</v>
      </c>
      <c r="M298" s="9" t="b">
        <v>1</v>
      </c>
      <c r="N298" s="9" t="n">
        <v>2.5</v>
      </c>
      <c r="O298" s="9" t="n">
        <v>120</v>
      </c>
      <c r="P298" s="9" t="n">
        <v>4</v>
      </c>
      <c r="Q298" s="9" t="n">
        <v>17</v>
      </c>
      <c r="R298" s="9" t="inlineStr">
        <is>
          <t>https://www.vultr.com</t>
        </is>
      </c>
      <c r="S298">
        <f>IF(M298,N298,"")</f>
        <v/>
      </c>
    </row>
    <row r="299">
      <c r="A299" s="9" t="n">
        <v>90</v>
      </c>
      <c r="B299" s="9" t="inlineStr">
        <is>
          <t>WP Engine</t>
        </is>
      </c>
      <c r="C299" s="9" t="inlineStr">
        <is>
          <t>cloud-hosting</t>
        </is>
      </c>
      <c r="D299" s="9" t="inlineStr">
        <is>
          <t>Cloud Hosting</t>
        </is>
      </c>
      <c r="E299" s="9" t="n">
        <v>4.45</v>
      </c>
      <c r="F299" s="9" t="n">
        <v>4.4</v>
      </c>
      <c r="G299" s="9" t="n">
        <v>4.5</v>
      </c>
      <c r="H299" s="9" t="n">
        <v>2010</v>
      </c>
      <c r="I299" s="9" t="inlineStr">
        <is>
          <t>Austin, TX</t>
        </is>
      </c>
      <c r="J299" s="9" t="b">
        <v>0</v>
      </c>
      <c r="K299" s="9" t="b">
        <v>0</v>
      </c>
      <c r="L299" s="9" t="b">
        <v>0</v>
      </c>
      <c r="M299" s="9" t="b">
        <v>1</v>
      </c>
      <c r="N299" s="9" t="n">
        <v>20</v>
      </c>
      <c r="O299" s="9" t="n">
        <v>193</v>
      </c>
      <c r="P299" s="9" t="n">
        <v>4</v>
      </c>
      <c r="Q299" s="9" t="n">
        <v>18</v>
      </c>
      <c r="R299" s="9" t="inlineStr">
        <is>
          <t>https://wpengine.com</t>
        </is>
      </c>
      <c r="S299">
        <f>IF(M299,N299,"")</f>
        <v/>
      </c>
    </row>
    <row r="300">
      <c r="A300" s="9" t="n">
        <v>110</v>
      </c>
      <c r="B300" s="9" t="inlineStr">
        <is>
          <t>Wave</t>
        </is>
      </c>
      <c r="C300" s="9" t="inlineStr">
        <is>
          <t>accounting</t>
        </is>
      </c>
      <c r="D300" s="9" t="inlineStr">
        <is>
          <t>Accounting</t>
        </is>
      </c>
      <c r="E300" s="9" t="n">
        <v>4.4</v>
      </c>
      <c r="F300" s="9" t="n">
        <v>4.4</v>
      </c>
      <c r="G300" s="9" t="n">
        <v>4.4</v>
      </c>
      <c r="H300" s="9" t="n">
        <v>2010</v>
      </c>
      <c r="I300" s="9" t="inlineStr">
        <is>
          <t>Toronto, Canada (H&amp;R Block)</t>
        </is>
      </c>
      <c r="J300" s="9" t="b">
        <v>1</v>
      </c>
      <c r="K300" s="9" t="b">
        <v>0</v>
      </c>
      <c r="L300" s="9" t="b">
        <v>0</v>
      </c>
      <c r="M300" s="9" t="b">
        <v>1</v>
      </c>
      <c r="N300" s="9" t="n">
        <v>16</v>
      </c>
      <c r="O300" s="9" t="n">
        <v>149</v>
      </c>
      <c r="P300" s="9" t="n">
        <v>4</v>
      </c>
      <c r="Q300" s="9" t="n">
        <v>11</v>
      </c>
      <c r="R300" s="9" t="inlineStr">
        <is>
          <t>https://www.waveapps.com</t>
        </is>
      </c>
      <c r="S300">
        <f>IF(M300,N300,"")</f>
        <v/>
      </c>
    </row>
    <row r="301">
      <c r="A301" s="9" t="n">
        <v>127</v>
      </c>
      <c r="B301" s="9" t="inlineStr">
        <is>
          <t>Webex by Cisco</t>
        </is>
      </c>
      <c r="C301" s="9" t="inlineStr">
        <is>
          <t>video-conferencing</t>
        </is>
      </c>
      <c r="D301" s="9" t="inlineStr">
        <is>
          <t>Video Conferencing</t>
        </is>
      </c>
      <c r="E301" s="9" t="n">
        <v>4.35</v>
      </c>
      <c r="F301" s="9" t="n">
        <v>4.3</v>
      </c>
      <c r="G301" s="9" t="n">
        <v>4.4</v>
      </c>
      <c r="H301" s="9" t="n">
        <v>1995</v>
      </c>
      <c r="I301" s="9" t="inlineStr">
        <is>
          <t>San Jose, CA (Cisco)</t>
        </is>
      </c>
      <c r="J301" s="9" t="b">
        <v>1</v>
      </c>
      <c r="K301" s="9" t="b">
        <v>0</v>
      </c>
      <c r="L301" s="9" t="b">
        <v>1</v>
      </c>
      <c r="M301" s="9" t="b">
        <v>1</v>
      </c>
      <c r="N301" s="9" t="n">
        <v>14.5</v>
      </c>
      <c r="O301" s="9" t="n">
        <v>25</v>
      </c>
      <c r="P301" s="9" t="n">
        <v>4</v>
      </c>
      <c r="Q301" s="9" t="n">
        <v>19</v>
      </c>
      <c r="R301" s="9" t="inlineStr">
        <is>
          <t>https://www.webex.com</t>
        </is>
      </c>
      <c r="S301">
        <f>IF(M301,N301,"")</f>
        <v/>
      </c>
    </row>
    <row r="302">
      <c r="A302" s="9" t="n">
        <v>58</v>
      </c>
      <c r="B302" s="9" t="inlineStr">
        <is>
          <t>Webflow</t>
        </is>
      </c>
      <c r="C302" s="9" t="inlineStr">
        <is>
          <t>website-builders</t>
        </is>
      </c>
      <c r="D302" s="9" t="inlineStr">
        <is>
          <t>Website Builders</t>
        </is>
      </c>
      <c r="E302" s="9" t="n">
        <v>4.5</v>
      </c>
      <c r="F302" s="9" t="n">
        <v>4.4</v>
      </c>
      <c r="G302" s="9" t="n">
        <v>4.6</v>
      </c>
      <c r="H302" s="9" t="n">
        <v>2013</v>
      </c>
      <c r="I302" s="9" t="inlineStr">
        <is>
          <t>San Francisco, CA</t>
        </is>
      </c>
      <c r="J302" s="9" t="b">
        <v>1</v>
      </c>
      <c r="K302" s="9" t="b">
        <v>0</v>
      </c>
      <c r="L302" s="9" t="b">
        <v>1</v>
      </c>
      <c r="M302" s="9" t="b">
        <v>1</v>
      </c>
      <c r="N302" s="9" t="n">
        <v>14</v>
      </c>
      <c r="O302" s="9" t="n">
        <v>39</v>
      </c>
      <c r="P302" s="9" t="n">
        <v>5</v>
      </c>
      <c r="Q302" s="9" t="n">
        <v>16</v>
      </c>
      <c r="R302" s="9" t="inlineStr">
        <is>
          <t>https://webflow.com</t>
        </is>
      </c>
      <c r="S302">
        <f>IF(M302,N302,"")</f>
        <v/>
      </c>
    </row>
    <row r="303">
      <c r="A303" s="9" t="n">
        <v>65</v>
      </c>
      <c r="B303" s="9" t="inlineStr">
        <is>
          <t>Webnode</t>
        </is>
      </c>
      <c r="C303" s="9" t="inlineStr">
        <is>
          <t>website-builders</t>
        </is>
      </c>
      <c r="D303" s="9" t="inlineStr">
        <is>
          <t>Website Builders</t>
        </is>
      </c>
      <c r="E303" s="9" t="n">
        <v>3.95</v>
      </c>
      <c r="F303" s="9" t="n">
        <v>3.9</v>
      </c>
      <c r="G303" s="9" t="n">
        <v>4</v>
      </c>
      <c r="H303" s="9" t="n">
        <v>2008</v>
      </c>
      <c r="I303" s="9" t="inlineStr">
        <is>
          <t>Brno, Czech Republic</t>
        </is>
      </c>
      <c r="J303" s="9" t="b">
        <v>1</v>
      </c>
      <c r="K303" s="9" t="b">
        <v>0</v>
      </c>
      <c r="L303" s="9" t="b">
        <v>0</v>
      </c>
      <c r="M303" s="9" t="b">
        <v>1</v>
      </c>
      <c r="N303" s="9" t="n">
        <v>3.9</v>
      </c>
      <c r="O303" s="9" t="n">
        <v>22.9</v>
      </c>
      <c r="P303" s="9" t="n">
        <v>5</v>
      </c>
      <c r="Q303" s="9" t="n">
        <v>12</v>
      </c>
      <c r="R303" s="9" t="inlineStr">
        <is>
          <t>https://www.webnode.com</t>
        </is>
      </c>
      <c r="S303">
        <f>IF(M303,N303,"")</f>
        <v/>
      </c>
    </row>
    <row r="304">
      <c r="A304" s="9" t="n">
        <v>63</v>
      </c>
      <c r="B304" s="9" t="inlineStr">
        <is>
          <t>Weebly</t>
        </is>
      </c>
      <c r="C304" s="9" t="inlineStr">
        <is>
          <t>website-builders</t>
        </is>
      </c>
      <c r="D304" s="9" t="inlineStr">
        <is>
          <t>Website Builders</t>
        </is>
      </c>
      <c r="E304" s="9" t="n">
        <v>4.25</v>
      </c>
      <c r="F304" s="9" t="n">
        <v>4.2</v>
      </c>
      <c r="G304" s="9" t="n">
        <v>4.3</v>
      </c>
      <c r="H304" s="9" t="n">
        <v>2007</v>
      </c>
      <c r="I304" s="9" t="inlineStr">
        <is>
          <t>San Francisco, CA (Square)</t>
        </is>
      </c>
      <c r="J304" s="9" t="b">
        <v>1</v>
      </c>
      <c r="K304" s="9" t="b">
        <v>0</v>
      </c>
      <c r="L304" s="9" t="b">
        <v>0</v>
      </c>
      <c r="M304" s="9" t="b">
        <v>1</v>
      </c>
      <c r="N304" s="9" t="n">
        <v>13</v>
      </c>
      <c r="O304" s="9" t="n">
        <v>29</v>
      </c>
      <c r="P304" s="9" t="n">
        <v>4</v>
      </c>
      <c r="Q304" s="9" t="n">
        <v>12</v>
      </c>
      <c r="R304" s="9" t="inlineStr">
        <is>
          <t>https://www.weebly.com</t>
        </is>
      </c>
      <c r="S304">
        <f>IF(M304,N304,"")</f>
        <v/>
      </c>
    </row>
    <row r="305">
      <c r="A305" s="9" t="n">
        <v>125</v>
      </c>
      <c r="B305" s="9" t="inlineStr">
        <is>
          <t>Whereby</t>
        </is>
      </c>
      <c r="C305" s="9" t="inlineStr">
        <is>
          <t>video-conferencing</t>
        </is>
      </c>
      <c r="D305" s="9" t="inlineStr">
        <is>
          <t>Video Conferencing</t>
        </is>
      </c>
      <c r="E305" s="9" t="n">
        <v>4.55</v>
      </c>
      <c r="F305" s="9" t="n">
        <v>4.6</v>
      </c>
      <c r="G305" s="9" t="n">
        <v>4.5</v>
      </c>
      <c r="H305" s="9" t="n">
        <v>2013</v>
      </c>
      <c r="I305" s="9" t="inlineStr">
        <is>
          <t>Oslo, Norway</t>
        </is>
      </c>
      <c r="J305" s="9" t="b">
        <v>1</v>
      </c>
      <c r="K305" s="9" t="b">
        <v>0</v>
      </c>
      <c r="L305" s="9" t="b">
        <v>0</v>
      </c>
      <c r="M305" s="9" t="b">
        <v>1</v>
      </c>
      <c r="N305" s="9" t="n">
        <v>8.99</v>
      </c>
      <c r="O305" s="9" t="n">
        <v>11.99</v>
      </c>
      <c r="P305" s="9" t="n">
        <v>3</v>
      </c>
      <c r="Q305" s="9" t="n">
        <v>3</v>
      </c>
      <c r="R305" s="9" t="inlineStr">
        <is>
          <t>https://whereby.com</t>
        </is>
      </c>
      <c r="S305">
        <f>IF(M305,N305,"")</f>
        <v/>
      </c>
    </row>
    <row r="306">
      <c r="A306" s="9" t="n">
        <v>106</v>
      </c>
      <c r="B306" s="9" t="inlineStr">
        <is>
          <t>Whimsical</t>
        </is>
      </c>
      <c r="C306" s="9" t="inlineStr">
        <is>
          <t>design-tools</t>
        </is>
      </c>
      <c r="D306" s="9" t="inlineStr">
        <is>
          <t>Design Tools</t>
        </is>
      </c>
      <c r="E306" s="9" t="n">
        <v>4.65</v>
      </c>
      <c r="F306" s="9" t="n">
        <v>4.6</v>
      </c>
      <c r="G306" s="9" t="n">
        <v>4.7</v>
      </c>
      <c r="H306" s="9" t="n">
        <v>2017</v>
      </c>
      <c r="I306" s="9" t="inlineStr">
        <is>
          <t>San Francisco, CA</t>
        </is>
      </c>
      <c r="J306" s="9" t="b">
        <v>1</v>
      </c>
      <c r="K306" s="9" t="b">
        <v>0</v>
      </c>
      <c r="L306" s="9" t="b">
        <v>0</v>
      </c>
      <c r="M306" s="9" t="b">
        <v>1</v>
      </c>
      <c r="N306" s="9" t="n">
        <v>12</v>
      </c>
      <c r="O306" s="9" t="n">
        <v>20</v>
      </c>
      <c r="P306" s="9" t="n">
        <v>3</v>
      </c>
      <c r="Q306" s="9" t="n">
        <v>7</v>
      </c>
      <c r="R306" s="9" t="inlineStr">
        <is>
          <t>https://whimsical.com</t>
        </is>
      </c>
      <c r="S306">
        <f>IF(M306,N306,"")</f>
        <v/>
      </c>
    </row>
    <row r="307">
      <c r="A307" s="9" t="n">
        <v>260</v>
      </c>
      <c r="B307" s="9" t="inlineStr">
        <is>
          <t>Windsurf</t>
        </is>
      </c>
      <c r="C307" s="9" t="inlineStr">
        <is>
          <t>ai-coding</t>
        </is>
      </c>
      <c r="D307" s="9" t="inlineStr">
        <is>
          <t>AI Coding</t>
        </is>
      </c>
      <c r="E307" s="9" t="n">
        <v>4.55</v>
      </c>
      <c r="F307" s="9" t="n">
        <v>4.6</v>
      </c>
      <c r="G307" s="9" t="n">
        <v>4.5</v>
      </c>
      <c r="H307" s="9" t="n">
        <v>2024</v>
      </c>
      <c r="I307" s="9" t="n">
        <v/>
      </c>
      <c r="J307" s="9" t="b">
        <v>1</v>
      </c>
      <c r="K307" s="9" t="b">
        <v>0</v>
      </c>
      <c r="L307" s="9" t="b">
        <v>1</v>
      </c>
      <c r="M307" s="9" t="b">
        <v>1</v>
      </c>
      <c r="N307" s="9" t="n">
        <v>20</v>
      </c>
      <c r="O307" s="9" t="n">
        <v>40</v>
      </c>
      <c r="P307" s="9" t="n">
        <v>4</v>
      </c>
      <c r="Q307" s="9" t="n">
        <v>17</v>
      </c>
      <c r="R307" s="9" t="inlineStr">
        <is>
          <t>https://codeium.com/windsurf</t>
        </is>
      </c>
      <c r="S307">
        <f>IF(M307,N307,"")</f>
        <v/>
      </c>
    </row>
    <row r="308">
      <c r="A308" s="9" t="n">
        <v>208</v>
      </c>
      <c r="B308" s="9" t="inlineStr">
        <is>
          <t>Windsurf (Codeium)</t>
        </is>
      </c>
      <c r="C308" s="9" t="inlineStr">
        <is>
          <t>ai-coding</t>
        </is>
      </c>
      <c r="D308" s="9" t="inlineStr">
        <is>
          <t>AI Coding</t>
        </is>
      </c>
      <c r="E308" s="9" t="n">
        <v>4.65</v>
      </c>
      <c r="F308" s="9" t="n">
        <v>4.7</v>
      </c>
      <c r="G308" s="9" t="n">
        <v>4.6</v>
      </c>
      <c r="H308" s="9" t="n">
        <v>2022</v>
      </c>
      <c r="I308" s="9" t="n">
        <v/>
      </c>
      <c r="J308" s="9" t="b">
        <v>1</v>
      </c>
      <c r="K308" s="9" t="b">
        <v>0</v>
      </c>
      <c r="L308" s="9" t="b">
        <v>1</v>
      </c>
      <c r="M308" s="9" t="b">
        <v>1</v>
      </c>
      <c r="N308" s="9" t="n">
        <v>20</v>
      </c>
      <c r="O308" s="9" t="n">
        <v>40</v>
      </c>
      <c r="P308" s="9" t="n">
        <v>4</v>
      </c>
      <c r="Q308" s="9" t="n">
        <v>5</v>
      </c>
      <c r="R308" s="9" t="inlineStr">
        <is>
          <t>https://codeium.com/windsurf</t>
        </is>
      </c>
      <c r="S308">
        <f>IF(M308,N308,"")</f>
        <v/>
      </c>
    </row>
    <row r="309">
      <c r="A309" s="9" t="n">
        <v>56</v>
      </c>
      <c r="B309" s="9" t="inlineStr">
        <is>
          <t>Wix</t>
        </is>
      </c>
      <c r="C309" s="9" t="inlineStr">
        <is>
          <t>website-builders</t>
        </is>
      </c>
      <c r="D309" s="9" t="inlineStr">
        <is>
          <t>Website Builders</t>
        </is>
      </c>
      <c r="E309" s="9" t="n">
        <v>4.3</v>
      </c>
      <c r="F309" s="9" t="n">
        <v>4.2</v>
      </c>
      <c r="G309" s="9" t="n">
        <v>4.4</v>
      </c>
      <c r="H309" s="9" t="n">
        <v>2006</v>
      </c>
      <c r="I309" s="9" t="inlineStr">
        <is>
          <t>Tel Aviv, Israel</t>
        </is>
      </c>
      <c r="J309" s="9" t="b">
        <v>1</v>
      </c>
      <c r="K309" s="9" t="b">
        <v>0</v>
      </c>
      <c r="L309" s="9" t="b">
        <v>0</v>
      </c>
      <c r="M309" s="9" t="b">
        <v>1</v>
      </c>
      <c r="N309" s="9" t="n">
        <v>17</v>
      </c>
      <c r="O309" s="9" t="n">
        <v>159</v>
      </c>
      <c r="P309" s="9" t="n">
        <v>5</v>
      </c>
      <c r="Q309" s="9" t="n">
        <v>15</v>
      </c>
      <c r="R309" s="9" t="inlineStr">
        <is>
          <t>https://www.wix.com</t>
        </is>
      </c>
      <c r="S309">
        <f>IF(M309,N309,"")</f>
        <v/>
      </c>
    </row>
    <row r="310">
      <c r="A310" s="9" t="n">
        <v>55</v>
      </c>
      <c r="B310" s="9" t="inlineStr">
        <is>
          <t>WordPress.com</t>
        </is>
      </c>
      <c r="C310" s="9" t="inlineStr">
        <is>
          <t>website-builders</t>
        </is>
      </c>
      <c r="D310" s="9" t="inlineStr">
        <is>
          <t>Website Builders</t>
        </is>
      </c>
      <c r="E310" s="9" t="n">
        <v>4.5</v>
      </c>
      <c r="F310" s="9" t="n">
        <v>4.4</v>
      </c>
      <c r="G310" s="9" t="n">
        <v>4.6</v>
      </c>
      <c r="H310" s="9" t="n">
        <v>2003</v>
      </c>
      <c r="I310" s="9" t="inlineStr">
        <is>
          <t>San Francisco, CA (Automattic)</t>
        </is>
      </c>
      <c r="J310" s="9" t="b">
        <v>1</v>
      </c>
      <c r="K310" s="9" t="b">
        <v>0</v>
      </c>
      <c r="L310" s="9" t="b">
        <v>0</v>
      </c>
      <c r="M310" s="9" t="b">
        <v>1</v>
      </c>
      <c r="N310" s="9" t="n">
        <v>4</v>
      </c>
      <c r="O310" s="9" t="n">
        <v>45</v>
      </c>
      <c r="P310" s="9" t="n">
        <v>5</v>
      </c>
      <c r="Q310" s="9" t="n">
        <v>16</v>
      </c>
      <c r="R310" s="9" t="inlineStr">
        <is>
          <t>https://wordpress.com</t>
        </is>
      </c>
      <c r="S310">
        <f>IF(M310,N310,"")</f>
        <v/>
      </c>
    </row>
    <row r="311">
      <c r="A311" s="9" t="n">
        <v>191</v>
      </c>
      <c r="B311" s="9" t="inlineStr">
        <is>
          <t>Wordtune</t>
        </is>
      </c>
      <c r="C311" s="9" t="inlineStr">
        <is>
          <t>ai-writing</t>
        </is>
      </c>
      <c r="D311" s="9" t="inlineStr">
        <is>
          <t>AI Writing</t>
        </is>
      </c>
      <c r="E311" s="9" t="n">
        <v>4.55</v>
      </c>
      <c r="F311" s="9" t="n">
        <v>4.6</v>
      </c>
      <c r="G311" s="9" t="n">
        <v>4.5</v>
      </c>
      <c r="H311" s="9" t="n">
        <v>2018</v>
      </c>
      <c r="I311" s="9" t="n">
        <v/>
      </c>
      <c r="J311" s="9" t="b">
        <v>1</v>
      </c>
      <c r="K311" s="9" t="b">
        <v>0</v>
      </c>
      <c r="L311" s="9" t="b">
        <v>0</v>
      </c>
      <c r="M311" s="9" t="b">
        <v>1</v>
      </c>
      <c r="N311" s="9" t="n">
        <v>6.99</v>
      </c>
      <c r="O311" s="9" t="n">
        <v>9.99</v>
      </c>
      <c r="P311" s="9" t="n">
        <v>3</v>
      </c>
      <c r="Q311" s="9" t="n">
        <v>5</v>
      </c>
      <c r="R311" s="9" t="inlineStr">
        <is>
          <t>https://wordtune.com</t>
        </is>
      </c>
      <c r="S311">
        <f>IF(M311,N311,"")</f>
        <v/>
      </c>
    </row>
    <row r="312">
      <c r="A312" s="9" t="n">
        <v>8</v>
      </c>
      <c r="B312" s="9" t="inlineStr">
        <is>
          <t>Wrike</t>
        </is>
      </c>
      <c r="C312" s="9" t="inlineStr">
        <is>
          <t>project-management</t>
        </is>
      </c>
      <c r="D312" s="9" t="inlineStr">
        <is>
          <t>Project Management</t>
        </is>
      </c>
      <c r="E312" s="9" t="n">
        <v>4.25</v>
      </c>
      <c r="F312" s="9" t="n">
        <v>4.2</v>
      </c>
      <c r="G312" s="9" t="n">
        <v>4.3</v>
      </c>
      <c r="H312" s="9" t="n">
        <v>2006</v>
      </c>
      <c r="I312" s="9" t="inlineStr">
        <is>
          <t>San Jose, CA</t>
        </is>
      </c>
      <c r="J312" s="9" t="b">
        <v>1</v>
      </c>
      <c r="K312" s="9" t="b">
        <v>0</v>
      </c>
      <c r="L312" s="9" t="b">
        <v>1</v>
      </c>
      <c r="M312" s="9" t="b">
        <v>1</v>
      </c>
      <c r="N312" s="9" t="n">
        <v>10</v>
      </c>
      <c r="O312" s="9" t="n">
        <v>25</v>
      </c>
      <c r="P312" s="9" t="n">
        <v>4</v>
      </c>
      <c r="Q312" s="9" t="n">
        <v>13</v>
      </c>
      <c r="R312" s="9" t="inlineStr">
        <is>
          <t>https://www.wrike.com</t>
        </is>
      </c>
      <c r="S312">
        <f>IF(M312,N312,"")</f>
        <v/>
      </c>
    </row>
    <row r="313">
      <c r="A313" s="9" t="n">
        <v>188</v>
      </c>
      <c r="B313" s="9" t="inlineStr">
        <is>
          <t>Writesonic</t>
        </is>
      </c>
      <c r="C313" s="9" t="inlineStr">
        <is>
          <t>ai-writing</t>
        </is>
      </c>
      <c r="D313" s="9" t="inlineStr">
        <is>
          <t>AI Writing</t>
        </is>
      </c>
      <c r="E313" s="9" t="n">
        <v>4.7</v>
      </c>
      <c r="F313" s="9" t="n">
        <v>4.7</v>
      </c>
      <c r="G313" s="9" t="n">
        <v>4.7</v>
      </c>
      <c r="H313" s="9" t="n">
        <v>2020</v>
      </c>
      <c r="I313" s="9" t="n">
        <v/>
      </c>
      <c r="J313" s="9" t="b">
        <v>1</v>
      </c>
      <c r="K313" s="9" t="b">
        <v>0</v>
      </c>
      <c r="L313" s="9" t="b">
        <v>0</v>
      </c>
      <c r="M313" s="9" t="b">
        <v>1</v>
      </c>
      <c r="N313" s="9" t="n">
        <v>79</v>
      </c>
      <c r="O313" s="9" t="n">
        <v>199</v>
      </c>
      <c r="P313" s="9" t="n">
        <v>3</v>
      </c>
      <c r="Q313" s="9" t="n">
        <v>9</v>
      </c>
      <c r="R313" s="9" t="inlineStr">
        <is>
          <t>https://writesonic.com</t>
        </is>
      </c>
      <c r="S313">
        <f>IF(M313,N313,"")</f>
        <v/>
      </c>
    </row>
    <row r="314">
      <c r="A314" s="9" t="n">
        <v>271</v>
      </c>
      <c r="B314" s="9" t="inlineStr">
        <is>
          <t>WunderTrading</t>
        </is>
      </c>
      <c r="C314" s="9" t="inlineStr">
        <is>
          <t>crypto-trading-bots</t>
        </is>
      </c>
      <c r="D314" s="9" t="inlineStr">
        <is>
          <t>Crypto Trading Bots</t>
        </is>
      </c>
      <c r="E314" s="9" t="n">
        <v>4</v>
      </c>
      <c r="F314" s="9" t="n">
        <v>4</v>
      </c>
      <c r="G314" s="9" t="n">
        <v/>
      </c>
      <c r="H314" s="9" t="n">
        <v>2019</v>
      </c>
      <c r="I314" s="9" t="inlineStr">
        <is>
          <t>Tallinn, Estonia</t>
        </is>
      </c>
      <c r="J314" s="9" t="b">
        <v>1</v>
      </c>
      <c r="K314" s="9" t="b">
        <v>0</v>
      </c>
      <c r="L314" s="9" t="b">
        <v>0</v>
      </c>
      <c r="M314" s="9" t="b">
        <v>1</v>
      </c>
      <c r="N314" s="9" t="n">
        <v>19</v>
      </c>
      <c r="O314" s="9" t="n">
        <v>69</v>
      </c>
      <c r="P314" s="9" t="n">
        <v>4</v>
      </c>
      <c r="Q314" s="9" t="n">
        <v>11</v>
      </c>
      <c r="R314" s="9" t="inlineStr">
        <is>
          <t>https://wundertrading.com</t>
        </is>
      </c>
      <c r="S314">
        <f>IF(M314,N314,"")</f>
        <v/>
      </c>
    </row>
    <row r="315">
      <c r="A315" s="9" t="n">
        <v>108</v>
      </c>
      <c r="B315" s="9" t="inlineStr">
        <is>
          <t>Xero</t>
        </is>
      </c>
      <c r="C315" s="9" t="inlineStr">
        <is>
          <t>accounting</t>
        </is>
      </c>
      <c r="D315" s="9" t="inlineStr">
        <is>
          <t>Accounting</t>
        </is>
      </c>
      <c r="E315" s="9" t="n">
        <v>4.35</v>
      </c>
      <c r="F315" s="9" t="n">
        <v>4.3</v>
      </c>
      <c r="G315" s="9" t="n">
        <v>4.4</v>
      </c>
      <c r="H315" s="9" t="n">
        <v>2006</v>
      </c>
      <c r="I315" s="9" t="inlineStr">
        <is>
          <t>Wellington, New Zealand</t>
        </is>
      </c>
      <c r="J315" s="9" t="b">
        <v>0</v>
      </c>
      <c r="K315" s="9" t="b">
        <v>0</v>
      </c>
      <c r="L315" s="9" t="b">
        <v>0</v>
      </c>
      <c r="M315" s="9" t="b">
        <v>1</v>
      </c>
      <c r="N315" s="9" t="n">
        <v>25</v>
      </c>
      <c r="O315" s="9" t="n">
        <v>90</v>
      </c>
      <c r="P315" s="9" t="n">
        <v>3</v>
      </c>
      <c r="Q315" s="9" t="n">
        <v>13</v>
      </c>
      <c r="R315" s="9" t="inlineStr">
        <is>
          <t>https://www.xero.com</t>
        </is>
      </c>
      <c r="S315">
        <f>IF(M315,N315,"")</f>
        <v/>
      </c>
    </row>
    <row r="316">
      <c r="A316" s="9" t="n">
        <v>217</v>
      </c>
      <c r="B316" s="9" t="inlineStr">
        <is>
          <t>You.com</t>
        </is>
      </c>
      <c r="C316" s="9" t="inlineStr">
        <is>
          <t>ai-productivity</t>
        </is>
      </c>
      <c r="D316" s="9" t="inlineStr">
        <is>
          <t>AI Productivity</t>
        </is>
      </c>
      <c r="E316" s="9" t="n">
        <v>4.35</v>
      </c>
      <c r="F316" s="9" t="n">
        <v>4.4</v>
      </c>
      <c r="G316" s="9" t="n">
        <v>4.3</v>
      </c>
      <c r="H316" s="9" t="n">
        <v>2020</v>
      </c>
      <c r="I316" s="9" t="n">
        <v/>
      </c>
      <c r="J316" s="9" t="b">
        <v>1</v>
      </c>
      <c r="K316" s="9" t="b">
        <v>0</v>
      </c>
      <c r="L316" s="9" t="b">
        <v>0</v>
      </c>
      <c r="M316" s="9" t="b">
        <v>1</v>
      </c>
      <c r="N316" s="9" t="n">
        <v>15</v>
      </c>
      <c r="O316" s="9" t="n">
        <v>15</v>
      </c>
      <c r="P316" s="9" t="n">
        <v>2</v>
      </c>
      <c r="Q316" s="9" t="n">
        <v>9</v>
      </c>
      <c r="R316" s="9" t="inlineStr">
        <is>
          <t>https://you.com</t>
        </is>
      </c>
      <c r="S316">
        <f>IF(M316,N316,"")</f>
        <v/>
      </c>
    </row>
    <row r="317">
      <c r="A317" s="9" t="n">
        <v>210</v>
      </c>
      <c r="B317" s="9" t="inlineStr">
        <is>
          <t>Zapier AI</t>
        </is>
      </c>
      <c r="C317" s="9" t="inlineStr">
        <is>
          <t>ai-agents</t>
        </is>
      </c>
      <c r="D317" s="9" t="inlineStr">
        <is>
          <t>AI Agents</t>
        </is>
      </c>
      <c r="E317" s="9" t="n">
        <v>4.5</v>
      </c>
      <c r="F317" s="9" t="n">
        <v>4.5</v>
      </c>
      <c r="G317" s="9" t="n">
        <v>4.5</v>
      </c>
      <c r="H317" s="9" t="n">
        <v>2011</v>
      </c>
      <c r="I317" s="9" t="n">
        <v/>
      </c>
      <c r="J317" s="9" t="b">
        <v>1</v>
      </c>
      <c r="K317" s="9" t="b">
        <v>0</v>
      </c>
      <c r="L317" s="9" t="b">
        <v>1</v>
      </c>
      <c r="M317" s="9" t="b">
        <v>1</v>
      </c>
      <c r="N317" s="9" t="n">
        <v>19.99</v>
      </c>
      <c r="O317" s="9" t="n">
        <v>69</v>
      </c>
      <c r="P317" s="9" t="n">
        <v>4</v>
      </c>
      <c r="Q317" s="9" t="n">
        <v>5</v>
      </c>
      <c r="R317" s="9" t="inlineStr">
        <is>
          <t>https://zapier.com/ai</t>
        </is>
      </c>
      <c r="S317">
        <f>IF(M317,N317,"")</f>
        <v/>
      </c>
    </row>
    <row r="318">
      <c r="A318" s="9" t="n">
        <v>295</v>
      </c>
      <c r="B318" s="9" t="inlineStr">
        <is>
          <t>Zapper</t>
        </is>
      </c>
      <c r="C318" s="9" t="inlineStr">
        <is>
          <t>defi-tools</t>
        </is>
      </c>
      <c r="D318" s="9" t="inlineStr">
        <is>
          <t>DeFi Tools</t>
        </is>
      </c>
      <c r="E318" s="9" t="n">
        <v>4.2</v>
      </c>
      <c r="F318" s="9" t="n">
        <v>4.2</v>
      </c>
      <c r="G318" s="9" t="n">
        <v/>
      </c>
      <c r="H318" s="9" t="n">
        <v>2020</v>
      </c>
      <c r="I318" s="9" t="inlineStr">
        <is>
          <t>Montreal, Canada</t>
        </is>
      </c>
      <c r="J318" s="9" t="b">
        <v>1</v>
      </c>
      <c r="K318" s="9" t="b">
        <v>0</v>
      </c>
      <c r="L318" s="9" t="b">
        <v>0</v>
      </c>
      <c r="M318" s="9" t="b">
        <v>1</v>
      </c>
      <c r="N318" s="9" t="n">
        <v/>
      </c>
      <c r="O318" s="9" t="n">
        <v>0</v>
      </c>
      <c r="P318" s="9" t="n">
        <v>1</v>
      </c>
      <c r="Q318" s="9" t="n">
        <v>6</v>
      </c>
      <c r="R318" s="9" t="inlineStr">
        <is>
          <t>https://zapper.xyz</t>
        </is>
      </c>
      <c r="S318">
        <f>IF(M318,N318,"")</f>
        <v/>
      </c>
    </row>
    <row r="319">
      <c r="A319" s="9" t="n">
        <v>284</v>
      </c>
      <c r="B319" s="9" t="inlineStr">
        <is>
          <t>ZenLedger</t>
        </is>
      </c>
      <c r="C319" s="9" t="inlineStr">
        <is>
          <t>crypto-tax</t>
        </is>
      </c>
      <c r="D319" s="9" t="inlineStr">
        <is>
          <t>Crypto Tax</t>
        </is>
      </c>
      <c r="E319" s="9" t="n">
        <v>4.05</v>
      </c>
      <c r="F319" s="9" t="n">
        <v>4</v>
      </c>
      <c r="G319" s="9" t="n">
        <v>4.1</v>
      </c>
      <c r="H319" s="9" t="n">
        <v>2017</v>
      </c>
      <c r="I319" s="9" t="inlineStr">
        <is>
          <t>Seattle, USA</t>
        </is>
      </c>
      <c r="J319" s="9" t="b">
        <v>1</v>
      </c>
      <c r="K319" s="9" t="b">
        <v>0</v>
      </c>
      <c r="L319" s="9" t="b">
        <v>0</v>
      </c>
      <c r="M319" s="9" t="b">
        <v>1</v>
      </c>
      <c r="N319" s="9" t="n">
        <v>49</v>
      </c>
      <c r="O319" s="9" t="n">
        <v>399</v>
      </c>
      <c r="P319" s="9" t="n">
        <v>4</v>
      </c>
      <c r="Q319" s="9" t="n">
        <v>8</v>
      </c>
      <c r="R319" s="9" t="inlineStr">
        <is>
          <t>https://www.zenledger.io</t>
        </is>
      </c>
      <c r="S319">
        <f>IF(M319,N319,"")</f>
        <v/>
      </c>
    </row>
    <row r="320">
      <c r="A320" s="9" t="n">
        <v>141</v>
      </c>
      <c r="B320" s="9" t="inlineStr">
        <is>
          <t>Zendesk Sell</t>
        </is>
      </c>
      <c r="C320" s="9" t="inlineStr">
        <is>
          <t>crm</t>
        </is>
      </c>
      <c r="D320" s="9" t="inlineStr">
        <is>
          <t>CRM</t>
        </is>
      </c>
      <c r="E320" s="9" t="n">
        <v>4.25</v>
      </c>
      <c r="F320" s="9" t="n">
        <v>4.2</v>
      </c>
      <c r="G320" s="9" t="n">
        <v>4.3</v>
      </c>
      <c r="H320" s="9" t="n">
        <v>2007</v>
      </c>
      <c r="I320" s="9" t="inlineStr">
        <is>
          <t>San Francisco, CA (Zendesk)</t>
        </is>
      </c>
      <c r="J320" s="9" t="b">
        <v>0</v>
      </c>
      <c r="K320" s="9" t="b">
        <v>0</v>
      </c>
      <c r="L320" s="9" t="b">
        <v>0</v>
      </c>
      <c r="M320" s="9" t="b">
        <v>1</v>
      </c>
      <c r="N320" s="9" t="n">
        <v>25</v>
      </c>
      <c r="O320" s="9" t="n">
        <v>149</v>
      </c>
      <c r="P320" s="9" t="n">
        <v>3</v>
      </c>
      <c r="Q320" s="9" t="n">
        <v>11</v>
      </c>
      <c r="R320" s="9" t="inlineStr">
        <is>
          <t>https://www.zendesk.com/sell/</t>
        </is>
      </c>
      <c r="S320">
        <f>IF(M320,N320,"")</f>
        <v/>
      </c>
    </row>
    <row r="321">
      <c r="A321" s="9" t="n">
        <v>289</v>
      </c>
      <c r="B321" s="9" t="inlineStr">
        <is>
          <t>Zerion</t>
        </is>
      </c>
      <c r="C321" s="9" t="inlineStr">
        <is>
          <t>crypto-portfolio-trackers</t>
        </is>
      </c>
      <c r="D321" s="9" t="inlineStr">
        <is>
          <t>Crypto Portfolio Trackers</t>
        </is>
      </c>
      <c r="E321" s="9" t="n">
        <v>4.5</v>
      </c>
      <c r="F321" s="9" t="n">
        <v>4.5</v>
      </c>
      <c r="G321" s="9" t="n">
        <v/>
      </c>
      <c r="H321" s="9" t="n">
        <v>2017</v>
      </c>
      <c r="I321" s="9" t="inlineStr">
        <is>
          <t>San Francisco, USA</t>
        </is>
      </c>
      <c r="J321" s="9" t="b">
        <v>1</v>
      </c>
      <c r="K321" s="9" t="b">
        <v>0</v>
      </c>
      <c r="L321" s="9" t="b">
        <v>0</v>
      </c>
      <c r="M321" s="9" t="b">
        <v>1</v>
      </c>
      <c r="N321" s="9" t="n">
        <v>14.99</v>
      </c>
      <c r="O321" s="9" t="n">
        <v>14.99</v>
      </c>
      <c r="P321" s="9" t="n">
        <v>2</v>
      </c>
      <c r="Q321" s="9" t="n">
        <v>9</v>
      </c>
      <c r="R321" s="9" t="inlineStr">
        <is>
          <t>https://zerion.io</t>
        </is>
      </c>
      <c r="S321">
        <f>IF(M321,N321,"")</f>
        <v/>
      </c>
    </row>
    <row r="322">
      <c r="A322" s="9" t="n">
        <v>111</v>
      </c>
      <c r="B322" s="9" t="inlineStr">
        <is>
          <t>Zoho Books</t>
        </is>
      </c>
      <c r="C322" s="9" t="inlineStr">
        <is>
          <t>accounting</t>
        </is>
      </c>
      <c r="D322" s="9" t="inlineStr">
        <is>
          <t>Accounting</t>
        </is>
      </c>
      <c r="E322" s="9" t="n">
        <v>4.45</v>
      </c>
      <c r="F322" s="9" t="n">
        <v>4.5</v>
      </c>
      <c r="G322" s="9" t="n">
        <v>4.4</v>
      </c>
      <c r="H322" s="9" t="n">
        <v>1996</v>
      </c>
      <c r="I322" s="9" t="inlineStr">
        <is>
          <t>Chennai, India</t>
        </is>
      </c>
      <c r="J322" s="9" t="b">
        <v>1</v>
      </c>
      <c r="K322" s="9" t="b">
        <v>0</v>
      </c>
      <c r="L322" s="9" t="b">
        <v>0</v>
      </c>
      <c r="M322" s="9" t="b">
        <v>1</v>
      </c>
      <c r="N322" s="9" t="n">
        <v>20</v>
      </c>
      <c r="O322" s="9" t="n">
        <v>150</v>
      </c>
      <c r="P322" s="9" t="n">
        <v>5</v>
      </c>
      <c r="Q322" s="9" t="n">
        <v>12</v>
      </c>
      <c r="R322" s="9" t="inlineStr">
        <is>
          <t>https://www.zoho.com/books/</t>
        </is>
      </c>
      <c r="S322">
        <f>IF(M322,N322,"")</f>
        <v/>
      </c>
    </row>
    <row r="323">
      <c r="A323" s="9" t="n">
        <v>24</v>
      </c>
      <c r="B323" s="9" t="inlineStr">
        <is>
          <t>Zoho CRM</t>
        </is>
      </c>
      <c r="C323" s="9" t="inlineStr">
        <is>
          <t>crm</t>
        </is>
      </c>
      <c r="D323" s="9" t="inlineStr">
        <is>
          <t>CRM</t>
        </is>
      </c>
      <c r="E323" s="9" t="n">
        <v>4.2</v>
      </c>
      <c r="F323" s="9" t="n">
        <v>4.1</v>
      </c>
      <c r="G323" s="9" t="n">
        <v>4.3</v>
      </c>
      <c r="H323" s="9" t="n">
        <v>1996</v>
      </c>
      <c r="I323" s="9" t="inlineStr">
        <is>
          <t>Chennai, India</t>
        </is>
      </c>
      <c r="J323" s="9" t="b">
        <v>1</v>
      </c>
      <c r="K323" s="9" t="b">
        <v>0</v>
      </c>
      <c r="L323" s="9" t="b">
        <v>0</v>
      </c>
      <c r="M323" s="9" t="b">
        <v>1</v>
      </c>
      <c r="N323" s="9" t="n">
        <v>20</v>
      </c>
      <c r="O323" s="9" t="n">
        <v>65</v>
      </c>
      <c r="P323" s="9" t="n">
        <v>5</v>
      </c>
      <c r="Q323" s="9" t="n">
        <v>18</v>
      </c>
      <c r="R323" s="9" t="inlineStr">
        <is>
          <t>https://www.zoho.com/crm/</t>
        </is>
      </c>
      <c r="S323">
        <f>IF(M323,N323,"")</f>
        <v/>
      </c>
    </row>
    <row r="324">
      <c r="A324" s="9" t="n">
        <v>20</v>
      </c>
      <c r="B324" s="9" t="inlineStr">
        <is>
          <t>Zoho Projects</t>
        </is>
      </c>
      <c r="C324" s="9" t="inlineStr">
        <is>
          <t>project-management</t>
        </is>
      </c>
      <c r="D324" s="9" t="inlineStr">
        <is>
          <t>Project Management</t>
        </is>
      </c>
      <c r="E324" s="9" t="n">
        <v>4.35</v>
      </c>
      <c r="F324" s="9" t="n">
        <v>4.3</v>
      </c>
      <c r="G324" s="9" t="n">
        <v>4.4</v>
      </c>
      <c r="H324" s="9" t="n">
        <v>1996</v>
      </c>
      <c r="I324" s="9" t="inlineStr">
        <is>
          <t>Chennai, India</t>
        </is>
      </c>
      <c r="J324" s="9" t="b">
        <v>1</v>
      </c>
      <c r="K324" s="9" t="b">
        <v>0</v>
      </c>
      <c r="L324" s="9" t="b">
        <v>0</v>
      </c>
      <c r="M324" s="9" t="b">
        <v>1</v>
      </c>
      <c r="N324" s="9" t="n">
        <v>5</v>
      </c>
      <c r="O324" s="9" t="n">
        <v>10</v>
      </c>
      <c r="P324" s="9" t="n">
        <v>3</v>
      </c>
      <c r="Q324" s="9" t="n">
        <v>10</v>
      </c>
      <c r="R324" s="9" t="inlineStr">
        <is>
          <t>https://www.zoho.com/projects/</t>
        </is>
      </c>
      <c r="S324">
        <f>IF(M324,N324,"")</f>
        <v/>
      </c>
    </row>
    <row r="325">
      <c r="A325" s="9" t="n">
        <v>122</v>
      </c>
      <c r="B325" s="9" t="inlineStr">
        <is>
          <t>Zoom</t>
        </is>
      </c>
      <c r="C325" s="9" t="inlineStr">
        <is>
          <t>video-conferencing</t>
        </is>
      </c>
      <c r="D325" s="9" t="inlineStr">
        <is>
          <t>Video Conferencing</t>
        </is>
      </c>
      <c r="E325" s="9" t="n">
        <v>4.55</v>
      </c>
      <c r="F325" s="9" t="n">
        <v>4.5</v>
      </c>
      <c r="G325" s="9" t="n">
        <v>4.6</v>
      </c>
      <c r="H325" s="9" t="n">
        <v>2011</v>
      </c>
      <c r="I325" s="9" t="inlineStr">
        <is>
          <t>San Jose, CA</t>
        </is>
      </c>
      <c r="J325" s="9" t="b">
        <v>1</v>
      </c>
      <c r="K325" s="9" t="b">
        <v>0</v>
      </c>
      <c r="L325" s="9" t="b">
        <v>0</v>
      </c>
      <c r="M325" s="9" t="b">
        <v>1</v>
      </c>
      <c r="N325" s="9" t="n">
        <v>13.33</v>
      </c>
      <c r="O325" s="9" t="n">
        <v>22.49</v>
      </c>
      <c r="P325" s="9" t="n">
        <v>4</v>
      </c>
      <c r="Q325" s="9" t="n">
        <v>13</v>
      </c>
      <c r="R325" s="9" t="inlineStr">
        <is>
          <t>https://zoom.com</t>
        </is>
      </c>
      <c r="S325">
        <f>IF(M325,N325,"")</f>
        <v/>
      </c>
    </row>
    <row r="326">
      <c r="A326" s="9" t="n">
        <v>47</v>
      </c>
      <c r="B326" s="9" t="inlineStr">
        <is>
          <t>beehiiv</t>
        </is>
      </c>
      <c r="C326" s="9" t="inlineStr">
        <is>
          <t>email-marketing</t>
        </is>
      </c>
      <c r="D326" s="9" t="inlineStr">
        <is>
          <t>Email Marketing</t>
        </is>
      </c>
      <c r="E326" s="9" t="n">
        <v>4.7</v>
      </c>
      <c r="F326" s="9" t="n">
        <v>4.7</v>
      </c>
      <c r="G326" s="9" t="n">
        <v>4.7</v>
      </c>
      <c r="H326" s="9" t="n">
        <v>2021</v>
      </c>
      <c r="I326" s="9" t="inlineStr">
        <is>
          <t>Austin, TX</t>
        </is>
      </c>
      <c r="J326" s="9" t="b">
        <v>1</v>
      </c>
      <c r="K326" s="9" t="b">
        <v>0</v>
      </c>
      <c r="L326" s="9" t="b">
        <v>1</v>
      </c>
      <c r="M326" s="9" t="b">
        <v>1</v>
      </c>
      <c r="N326" s="9" t="n">
        <v>43</v>
      </c>
      <c r="O326" s="9" t="n">
        <v>96</v>
      </c>
      <c r="P326" s="9" t="n">
        <v>4</v>
      </c>
      <c r="Q326" s="9" t="n">
        <v>12</v>
      </c>
      <c r="R326" s="9" t="inlineStr">
        <is>
          <t>https://www.beehiiv.com</t>
        </is>
      </c>
      <c r="S326">
        <f>IF(M326,N326,"")</f>
        <v/>
      </c>
    </row>
    <row r="327">
      <c r="A327" s="9" t="n">
        <v>327</v>
      </c>
      <c r="B327" s="9" t="inlineStr">
        <is>
          <t>dYdX</t>
        </is>
      </c>
      <c r="C327" s="9" t="inlineStr">
        <is>
          <t>dex</t>
        </is>
      </c>
      <c r="D327" s="9" t="inlineStr">
        <is>
          <t>DEX</t>
        </is>
      </c>
      <c r="E327" s="9" t="n">
        <v/>
      </c>
      <c r="F327" s="9" t="n">
        <v/>
      </c>
      <c r="G327" s="9" t="n">
        <v/>
      </c>
      <c r="H327" s="9" t="n">
        <v>2017</v>
      </c>
      <c r="I327" s="9" t="inlineStr">
        <is>
          <t>San Francisco, USA</t>
        </is>
      </c>
      <c r="J327" s="9" t="b">
        <v>1</v>
      </c>
      <c r="K327" s="9" t="b">
        <v>0</v>
      </c>
      <c r="L327" s="9" t="b">
        <v>0</v>
      </c>
      <c r="M327" s="9" t="b">
        <v>0</v>
      </c>
      <c r="N327" s="9" t="n">
        <v>0.02</v>
      </c>
      <c r="O327" s="9" t="n">
        <v>0.1</v>
      </c>
      <c r="P327" s="9" t="n">
        <v>3</v>
      </c>
      <c r="Q327" s="9" t="n">
        <v>11</v>
      </c>
      <c r="R327" s="9" t="inlineStr">
        <is>
          <t>https://dydx.exchange</t>
        </is>
      </c>
      <c r="S327">
        <f>IF(M327,N327,"")</f>
        <v/>
      </c>
    </row>
    <row r="328">
      <c r="A328" s="9" t="n">
        <v>33</v>
      </c>
      <c r="B328" s="9" t="inlineStr">
        <is>
          <t>monday CRM</t>
        </is>
      </c>
      <c r="C328" s="9" t="inlineStr">
        <is>
          <t>crm</t>
        </is>
      </c>
      <c r="D328" s="9" t="inlineStr">
        <is>
          <t>CRM</t>
        </is>
      </c>
      <c r="E328" s="9" t="n">
        <v>4.65</v>
      </c>
      <c r="F328" s="9" t="n">
        <v>4.6</v>
      </c>
      <c r="G328" s="9" t="n">
        <v>4.7</v>
      </c>
      <c r="H328" s="9" t="n">
        <v>2012</v>
      </c>
      <c r="I328" s="9" t="inlineStr">
        <is>
          <t>Tel Aviv, Israel</t>
        </is>
      </c>
      <c r="J328" s="9" t="b">
        <v>0</v>
      </c>
      <c r="K328" s="9" t="b">
        <v>0</v>
      </c>
      <c r="L328" s="9" t="b">
        <v>1</v>
      </c>
      <c r="M328" s="9" t="b">
        <v>1</v>
      </c>
      <c r="N328" s="9" t="n">
        <v>12</v>
      </c>
      <c r="O328" s="9" t="n">
        <v>28</v>
      </c>
      <c r="P328" s="9" t="n">
        <v>4</v>
      </c>
      <c r="Q328" s="9" t="n">
        <v>10</v>
      </c>
      <c r="R328" s="9" t="inlineStr">
        <is>
          <t>https://monday.com/crm</t>
        </is>
      </c>
      <c r="S328">
        <f>IF(M328,N328,"")</f>
        <v/>
      </c>
    </row>
    <row r="329">
      <c r="A329" s="9" t="n">
        <v>4</v>
      </c>
      <c r="B329" s="9" t="inlineStr">
        <is>
          <t>monday.com</t>
        </is>
      </c>
      <c r="C329" s="9" t="inlineStr">
        <is>
          <t>project-management</t>
        </is>
      </c>
      <c r="D329" s="9" t="inlineStr">
        <is>
          <t>Project Management</t>
        </is>
      </c>
      <c r="E329" s="9" t="n">
        <v>4.65</v>
      </c>
      <c r="F329" s="9" t="n">
        <v>4.7</v>
      </c>
      <c r="G329" s="9" t="n">
        <v>4.6</v>
      </c>
      <c r="H329" s="9" t="n">
        <v>2012</v>
      </c>
      <c r="I329" s="9" t="inlineStr">
        <is>
          <t>Tel Aviv, Israel</t>
        </is>
      </c>
      <c r="J329" s="9" t="b">
        <v>1</v>
      </c>
      <c r="K329" s="9" t="b">
        <v>0</v>
      </c>
      <c r="L329" s="9" t="b">
        <v>1</v>
      </c>
      <c r="M329" s="9" t="b">
        <v>1</v>
      </c>
      <c r="N329" s="9" t="n">
        <v>9</v>
      </c>
      <c r="O329" s="9" t="n">
        <v>19</v>
      </c>
      <c r="P329" s="9" t="n">
        <v>5</v>
      </c>
      <c r="Q329" s="9" t="n">
        <v>15</v>
      </c>
      <c r="R329" s="9" t="inlineStr">
        <is>
          <t>https://monday.com</t>
        </is>
      </c>
      <c r="S329">
        <f>IF(M329,N329,"")</f>
        <v/>
      </c>
    </row>
    <row r="330">
      <c r="A330" s="9" t="n">
        <v>182</v>
      </c>
      <c r="B330" s="9" t="inlineStr">
        <is>
          <t>n8n</t>
        </is>
      </c>
      <c r="C330" s="9" t="inlineStr">
        <is>
          <t>ai-agents</t>
        </is>
      </c>
      <c r="D330" s="9" t="inlineStr">
        <is>
          <t>AI Agents</t>
        </is>
      </c>
      <c r="E330" s="9" t="n">
        <v>4.7</v>
      </c>
      <c r="F330" s="9" t="n">
        <v>4.7</v>
      </c>
      <c r="G330" s="9" t="n">
        <v>4.7</v>
      </c>
      <c r="H330" s="9" t="n">
        <v>2019</v>
      </c>
      <c r="I330" s="9" t="n">
        <v/>
      </c>
      <c r="J330" s="9" t="b">
        <v>1</v>
      </c>
      <c r="K330" s="9" t="b">
        <v>0</v>
      </c>
      <c r="L330" s="9" t="b">
        <v>0</v>
      </c>
      <c r="M330" s="9" t="b">
        <v>1</v>
      </c>
      <c r="N330" s="9" t="n">
        <v>24</v>
      </c>
      <c r="O330" s="9" t="n">
        <v>60</v>
      </c>
      <c r="P330" s="9" t="n">
        <v>3</v>
      </c>
      <c r="Q330" s="9" t="n">
        <v>11</v>
      </c>
      <c r="R330" s="9" t="inlineStr">
        <is>
          <t>https://n8n.io</t>
        </is>
      </c>
      <c r="S330">
        <f>IF(M330,N330,"")</f>
        <v/>
      </c>
    </row>
    <row r="331">
      <c r="A331" s="9" t="n">
        <v>207</v>
      </c>
      <c r="B331" s="9" t="inlineStr">
        <is>
          <t>v0 by Vercel</t>
        </is>
      </c>
      <c r="C331" s="9" t="inlineStr">
        <is>
          <t>ai-coding</t>
        </is>
      </c>
      <c r="D331" s="9" t="inlineStr">
        <is>
          <t>AI Coding</t>
        </is>
      </c>
      <c r="E331" s="9" t="n">
        <v>4.55</v>
      </c>
      <c r="F331" s="9" t="n">
        <v>4.6</v>
      </c>
      <c r="G331" s="9" t="n">
        <v>4.5</v>
      </c>
      <c r="H331" s="9" t="n">
        <v>2023</v>
      </c>
      <c r="I331" s="9" t="n">
        <v/>
      </c>
      <c r="J331" s="9" t="b">
        <v>1</v>
      </c>
      <c r="K331" s="9" t="b">
        <v>0</v>
      </c>
      <c r="L331" s="9" t="b">
        <v>0</v>
      </c>
      <c r="M331" s="9" t="b">
        <v>1</v>
      </c>
      <c r="N331" s="9" t="n">
        <v>30</v>
      </c>
      <c r="O331" s="9" t="n">
        <v>100</v>
      </c>
      <c r="P331" s="9" t="n">
        <v>3</v>
      </c>
      <c r="Q331" s="9" t="n">
        <v>6</v>
      </c>
      <c r="R331" s="9" t="inlineStr">
        <is>
          <t>https://v0.app</t>
        </is>
      </c>
      <c r="S331">
        <f>IF(M331,N331,"")</f>
        <v/>
      </c>
    </row>
    <row r="332">
      <c r="A332" s="9" t="n">
        <v>231</v>
      </c>
      <c r="B332" s="9" t="inlineStr">
        <is>
          <t>vidIQ AI</t>
        </is>
      </c>
      <c r="C332" s="9" t="inlineStr">
        <is>
          <t>ai-video</t>
        </is>
      </c>
      <c r="D332" s="9" t="inlineStr">
        <is>
          <t>AI Video</t>
        </is>
      </c>
      <c r="E332" s="9" t="n">
        <v>4.45</v>
      </c>
      <c r="F332" s="9" t="n">
        <v>4.5</v>
      </c>
      <c r="G332" s="9" t="n">
        <v>4.4</v>
      </c>
      <c r="H332" s="9" t="n">
        <v>2014</v>
      </c>
      <c r="I332" s="9" t="n">
        <v/>
      </c>
      <c r="J332" s="9" t="b">
        <v>1</v>
      </c>
      <c r="K332" s="9" t="b">
        <v>0</v>
      </c>
      <c r="L332" s="9" t="b">
        <v>0</v>
      </c>
      <c r="M332" s="9" t="b">
        <v>1</v>
      </c>
      <c r="N332" s="9" t="n">
        <v>7</v>
      </c>
      <c r="O332" s="9" t="n">
        <v>39</v>
      </c>
      <c r="P332" s="9" t="n">
        <v>3</v>
      </c>
      <c r="Q332" s="9" t="n">
        <v>6</v>
      </c>
      <c r="R332" s="9" t="inlineStr">
        <is>
          <t>https://vidiq.com</t>
        </is>
      </c>
      <c r="S332">
        <f>IF(M332,N332,"")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id</t>
        </is>
      </c>
      <c r="B1" s="7" t="inlineStr">
        <is>
          <t>product_name</t>
        </is>
      </c>
      <c r="C1" s="7" t="inlineStr">
        <is>
          <t>plan_name</t>
        </is>
      </c>
      <c r="D1" s="7" t="inlineStr">
        <is>
          <t>price_monthly</t>
        </is>
      </c>
      <c r="E1" s="7" t="inlineStr">
        <is>
          <t>price_annual</t>
        </is>
      </c>
      <c r="F1" s="7" t="inlineStr">
        <is>
          <t>billing_model</t>
        </is>
      </c>
    </row>
    <row r="2">
      <c r="A2" s="9" t="n">
        <v>1</v>
      </c>
      <c r="B2" s="9" t="inlineStr">
        <is>
          <t>Notion</t>
        </is>
      </c>
      <c r="C2" s="9" t="inlineStr">
        <is>
          <t>Free</t>
        </is>
      </c>
      <c r="D2" s="9" t="n">
        <v>0</v>
      </c>
      <c r="E2" s="9" t="n">
        <v/>
      </c>
      <c r="F2" s="9" t="inlineStr">
        <is>
          <t>per-seat</t>
        </is>
      </c>
    </row>
    <row r="3">
      <c r="A3" s="9" t="n">
        <v>2</v>
      </c>
      <c r="B3" s="9" t="inlineStr">
        <is>
          <t>Notion</t>
        </is>
      </c>
      <c r="C3" s="9" t="inlineStr">
        <is>
          <t>Plus</t>
        </is>
      </c>
      <c r="D3" s="9" t="n">
        <v>12</v>
      </c>
      <c r="E3" s="9" t="n">
        <v/>
      </c>
      <c r="F3" s="9" t="inlineStr">
        <is>
          <t>per-seat</t>
        </is>
      </c>
    </row>
    <row r="4">
      <c r="A4" s="9" t="n">
        <v>3</v>
      </c>
      <c r="B4" s="9" t="inlineStr">
        <is>
          <t>Notion</t>
        </is>
      </c>
      <c r="C4" s="9" t="inlineStr">
        <is>
          <t>Business</t>
        </is>
      </c>
      <c r="D4" s="9" t="n">
        <v>18</v>
      </c>
      <c r="E4" s="9" t="n">
        <v/>
      </c>
      <c r="F4" s="9" t="inlineStr">
        <is>
          <t>per-seat</t>
        </is>
      </c>
    </row>
    <row r="5">
      <c r="A5" s="9" t="n">
        <v>4</v>
      </c>
      <c r="B5" s="9" t="inlineStr">
        <is>
          <t>Notion</t>
        </is>
      </c>
      <c r="C5" s="9" t="inlineStr">
        <is>
          <t>Enterprise</t>
        </is>
      </c>
      <c r="D5" s="9" t="n">
        <v/>
      </c>
      <c r="E5" s="9" t="n">
        <v/>
      </c>
      <c r="F5" s="9" t="inlineStr">
        <is>
          <t>per-seat</t>
        </is>
      </c>
    </row>
    <row r="6">
      <c r="A6" s="9" t="n">
        <v>5</v>
      </c>
      <c r="B6" s="9" t="inlineStr">
        <is>
          <t>ClickUp</t>
        </is>
      </c>
      <c r="C6" s="9" t="inlineStr">
        <is>
          <t>Free</t>
        </is>
      </c>
      <c r="D6" s="9" t="n">
        <v>0</v>
      </c>
      <c r="E6" s="9" t="n">
        <v/>
      </c>
      <c r="F6" s="9" t="inlineStr">
        <is>
          <t>flat</t>
        </is>
      </c>
    </row>
    <row r="7">
      <c r="A7" s="9" t="n">
        <v>6</v>
      </c>
      <c r="B7" s="9" t="inlineStr">
        <is>
          <t>ClickUp</t>
        </is>
      </c>
      <c r="C7" s="9" t="inlineStr">
        <is>
          <t>Unlimited</t>
        </is>
      </c>
      <c r="D7" s="9" t="n">
        <v>7</v>
      </c>
      <c r="E7" s="9" t="n">
        <v/>
      </c>
      <c r="F7" s="9" t="inlineStr">
        <is>
          <t>per-seat</t>
        </is>
      </c>
    </row>
    <row r="8">
      <c r="A8" s="9" t="n">
        <v>7</v>
      </c>
      <c r="B8" s="9" t="inlineStr">
        <is>
          <t>ClickUp</t>
        </is>
      </c>
      <c r="C8" s="9" t="inlineStr">
        <is>
          <t>Business</t>
        </is>
      </c>
      <c r="D8" s="9" t="n">
        <v>12</v>
      </c>
      <c r="E8" s="9" t="n">
        <v/>
      </c>
      <c r="F8" s="9" t="inlineStr">
        <is>
          <t>per-seat</t>
        </is>
      </c>
    </row>
    <row r="9">
      <c r="A9" s="9" t="n">
        <v>8</v>
      </c>
      <c r="B9" s="9" t="inlineStr">
        <is>
          <t>ClickUp</t>
        </is>
      </c>
      <c r="C9" s="9" t="inlineStr">
        <is>
          <t>Enterprise</t>
        </is>
      </c>
      <c r="D9" s="9" t="n">
        <v/>
      </c>
      <c r="E9" s="9" t="n">
        <v/>
      </c>
      <c r="F9" s="9" t="inlineStr">
        <is>
          <t>per-seat</t>
        </is>
      </c>
    </row>
    <row r="10">
      <c r="A10" s="9" t="n">
        <v>9</v>
      </c>
      <c r="B10" s="9" t="inlineStr">
        <is>
          <t>Asana</t>
        </is>
      </c>
      <c r="C10" s="9" t="inlineStr">
        <is>
          <t>Personal</t>
        </is>
      </c>
      <c r="D10" s="9" t="n">
        <v>0</v>
      </c>
      <c r="E10" s="9" t="n">
        <v/>
      </c>
      <c r="F10" s="9" t="inlineStr">
        <is>
          <t>flat</t>
        </is>
      </c>
    </row>
    <row r="11">
      <c r="A11" s="9" t="n">
        <v>10</v>
      </c>
      <c r="B11" s="9" t="inlineStr">
        <is>
          <t>Asana</t>
        </is>
      </c>
      <c r="C11" s="9" t="inlineStr">
        <is>
          <t>Starter</t>
        </is>
      </c>
      <c r="D11" s="9" t="n">
        <v>10.99</v>
      </c>
      <c r="E11" s="9" t="n">
        <v/>
      </c>
      <c r="F11" s="9" t="inlineStr">
        <is>
          <t>per-seat</t>
        </is>
      </c>
    </row>
    <row r="12">
      <c r="A12" s="9" t="n">
        <v>11</v>
      </c>
      <c r="B12" s="9" t="inlineStr">
        <is>
          <t>Asana</t>
        </is>
      </c>
      <c r="C12" s="9" t="inlineStr">
        <is>
          <t>Advanced</t>
        </is>
      </c>
      <c r="D12" s="9" t="n">
        <v>24.99</v>
      </c>
      <c r="E12" s="9" t="n">
        <v/>
      </c>
      <c r="F12" s="9" t="inlineStr">
        <is>
          <t>per-seat</t>
        </is>
      </c>
    </row>
    <row r="13">
      <c r="A13" s="9" t="n">
        <v>12</v>
      </c>
      <c r="B13" s="9" t="inlineStr">
        <is>
          <t>Asana</t>
        </is>
      </c>
      <c r="C13" s="9" t="inlineStr">
        <is>
          <t>Enterprise</t>
        </is>
      </c>
      <c r="D13" s="9" t="n">
        <v/>
      </c>
      <c r="E13" s="9" t="n">
        <v/>
      </c>
      <c r="F13" s="9" t="inlineStr">
        <is>
          <t>per-seat</t>
        </is>
      </c>
    </row>
    <row r="14">
      <c r="A14" s="9" t="n">
        <v>13</v>
      </c>
      <c r="B14" s="9" t="inlineStr">
        <is>
          <t>monday.com</t>
        </is>
      </c>
      <c r="C14" s="9" t="inlineStr">
        <is>
          <t>Free</t>
        </is>
      </c>
      <c r="D14" s="9" t="n">
        <v>0</v>
      </c>
      <c r="E14" s="9" t="n">
        <v/>
      </c>
      <c r="F14" s="9" t="inlineStr">
        <is>
          <t>flat</t>
        </is>
      </c>
    </row>
    <row r="15">
      <c r="A15" s="9" t="n">
        <v>14</v>
      </c>
      <c r="B15" s="9" t="inlineStr">
        <is>
          <t>monday.com</t>
        </is>
      </c>
      <c r="C15" s="9" t="inlineStr">
        <is>
          <t>Basic</t>
        </is>
      </c>
      <c r="D15" s="9" t="n">
        <v>9</v>
      </c>
      <c r="E15" s="9" t="n">
        <v/>
      </c>
      <c r="F15" s="9" t="inlineStr">
        <is>
          <t>per-seat</t>
        </is>
      </c>
    </row>
    <row r="16">
      <c r="A16" s="9" t="n">
        <v>15</v>
      </c>
      <c r="B16" s="9" t="inlineStr">
        <is>
          <t>monday.com</t>
        </is>
      </c>
      <c r="C16" s="9" t="inlineStr">
        <is>
          <t>Standard</t>
        </is>
      </c>
      <c r="D16" s="9" t="n">
        <v>12</v>
      </c>
      <c r="E16" s="9" t="n">
        <v/>
      </c>
      <c r="F16" s="9" t="inlineStr">
        <is>
          <t>per-seat</t>
        </is>
      </c>
    </row>
    <row r="17">
      <c r="A17" s="9" t="n">
        <v>16</v>
      </c>
      <c r="B17" s="9" t="inlineStr">
        <is>
          <t>monday.com</t>
        </is>
      </c>
      <c r="C17" s="9" t="inlineStr">
        <is>
          <t>Pro</t>
        </is>
      </c>
      <c r="D17" s="9" t="n">
        <v>19</v>
      </c>
      <c r="E17" s="9" t="n">
        <v/>
      </c>
      <c r="F17" s="9" t="inlineStr">
        <is>
          <t>per-seat</t>
        </is>
      </c>
    </row>
    <row r="18">
      <c r="A18" s="9" t="n">
        <v>17</v>
      </c>
      <c r="B18" s="9" t="inlineStr">
        <is>
          <t>monday.com</t>
        </is>
      </c>
      <c r="C18" s="9" t="inlineStr">
        <is>
          <t>Enterprise</t>
        </is>
      </c>
      <c r="D18" s="9" t="n">
        <v/>
      </c>
      <c r="E18" s="9" t="n">
        <v/>
      </c>
      <c r="F18" s="9" t="inlineStr">
        <is>
          <t>per-seat</t>
        </is>
      </c>
    </row>
    <row r="19">
      <c r="A19" s="9" t="n">
        <v>18</v>
      </c>
      <c r="B19" s="9" t="inlineStr">
        <is>
          <t>Trello</t>
        </is>
      </c>
      <c r="C19" s="9" t="inlineStr">
        <is>
          <t>Free</t>
        </is>
      </c>
      <c r="D19" s="9" t="n">
        <v>0</v>
      </c>
      <c r="E19" s="9" t="n">
        <v/>
      </c>
      <c r="F19" s="9" t="inlineStr">
        <is>
          <t>flat</t>
        </is>
      </c>
    </row>
    <row r="20">
      <c r="A20" s="9" t="n">
        <v>19</v>
      </c>
      <c r="B20" s="9" t="inlineStr">
        <is>
          <t>Trello</t>
        </is>
      </c>
      <c r="C20" s="9" t="inlineStr">
        <is>
          <t>Standard</t>
        </is>
      </c>
      <c r="D20" s="9" t="n">
        <v>5</v>
      </c>
      <c r="E20" s="9" t="n">
        <v/>
      </c>
      <c r="F20" s="9" t="inlineStr">
        <is>
          <t>per-seat</t>
        </is>
      </c>
    </row>
    <row r="21">
      <c r="A21" s="9" t="n">
        <v>20</v>
      </c>
      <c r="B21" s="9" t="inlineStr">
        <is>
          <t>Trello</t>
        </is>
      </c>
      <c r="C21" s="9" t="inlineStr">
        <is>
          <t>Premium</t>
        </is>
      </c>
      <c r="D21" s="9" t="n">
        <v>10</v>
      </c>
      <c r="E21" s="9" t="n">
        <v/>
      </c>
      <c r="F21" s="9" t="inlineStr">
        <is>
          <t>per-seat</t>
        </is>
      </c>
    </row>
    <row r="22">
      <c r="A22" s="9" t="n">
        <v>21</v>
      </c>
      <c r="B22" s="9" t="inlineStr">
        <is>
          <t>Trello</t>
        </is>
      </c>
      <c r="C22" s="9" t="inlineStr">
        <is>
          <t>Enterprise</t>
        </is>
      </c>
      <c r="D22" s="9" t="n">
        <v>17.5</v>
      </c>
      <c r="E22" s="9" t="n">
        <v/>
      </c>
      <c r="F22" s="9" t="inlineStr">
        <is>
          <t>per-seat</t>
        </is>
      </c>
    </row>
    <row r="23">
      <c r="A23" s="9" t="n">
        <v>22</v>
      </c>
      <c r="B23" s="9" t="inlineStr">
        <is>
          <t>Jira</t>
        </is>
      </c>
      <c r="C23" s="9" t="inlineStr">
        <is>
          <t>Free</t>
        </is>
      </c>
      <c r="D23" s="9" t="n">
        <v>0</v>
      </c>
      <c r="E23" s="9" t="n">
        <v/>
      </c>
      <c r="F23" s="9" t="inlineStr">
        <is>
          <t>flat</t>
        </is>
      </c>
    </row>
    <row r="24">
      <c r="A24" s="9" t="n">
        <v>23</v>
      </c>
      <c r="B24" s="9" t="inlineStr">
        <is>
          <t>Jira</t>
        </is>
      </c>
      <c r="C24" s="9" t="inlineStr">
        <is>
          <t>Standard</t>
        </is>
      </c>
      <c r="D24" s="9" t="n">
        <v>7.91</v>
      </c>
      <c r="E24" s="9" t="n">
        <v/>
      </c>
      <c r="F24" s="9" t="inlineStr">
        <is>
          <t>per-seat</t>
        </is>
      </c>
    </row>
    <row r="25">
      <c r="A25" s="9" t="n">
        <v>24</v>
      </c>
      <c r="B25" s="9" t="inlineStr">
        <is>
          <t>Jira</t>
        </is>
      </c>
      <c r="C25" s="9" t="inlineStr">
        <is>
          <t>Premium</t>
        </is>
      </c>
      <c r="D25" s="9" t="n">
        <v>14.54</v>
      </c>
      <c r="E25" s="9" t="n">
        <v/>
      </c>
      <c r="F25" s="9" t="inlineStr">
        <is>
          <t>per-seat</t>
        </is>
      </c>
    </row>
    <row r="26">
      <c r="A26" s="9" t="n">
        <v>25</v>
      </c>
      <c r="B26" s="9" t="inlineStr">
        <is>
          <t>Jira</t>
        </is>
      </c>
      <c r="C26" s="9" t="inlineStr">
        <is>
          <t>Enterprise</t>
        </is>
      </c>
      <c r="D26" s="9" t="n">
        <v/>
      </c>
      <c r="E26" s="9" t="n">
        <v/>
      </c>
      <c r="F26" s="9" t="inlineStr">
        <is>
          <t>per-seat</t>
        </is>
      </c>
    </row>
    <row r="27">
      <c r="A27" s="9" t="n">
        <v>26</v>
      </c>
      <c r="B27" s="9" t="inlineStr">
        <is>
          <t>Basecamp</t>
        </is>
      </c>
      <c r="C27" s="9" t="inlineStr">
        <is>
          <t>Free</t>
        </is>
      </c>
      <c r="D27" s="9" t="n">
        <v>0</v>
      </c>
      <c r="E27" s="9" t="n">
        <v/>
      </c>
      <c r="F27" s="9" t="inlineStr">
        <is>
          <t>flat</t>
        </is>
      </c>
    </row>
    <row r="28">
      <c r="A28" s="9" t="n">
        <v>27</v>
      </c>
      <c r="B28" s="9" t="inlineStr">
        <is>
          <t>Basecamp</t>
        </is>
      </c>
      <c r="C28" s="9" t="inlineStr">
        <is>
          <t>Basecamp Plus</t>
        </is>
      </c>
      <c r="D28" s="9" t="n">
        <v>15</v>
      </c>
      <c r="E28" s="9" t="n">
        <v/>
      </c>
      <c r="F28" s="9" t="inlineStr">
        <is>
          <t>per-seat</t>
        </is>
      </c>
    </row>
    <row r="29">
      <c r="A29" s="9" t="n">
        <v>28</v>
      </c>
      <c r="B29" s="9" t="inlineStr">
        <is>
          <t>Basecamp</t>
        </is>
      </c>
      <c r="C29" s="9" t="inlineStr">
        <is>
          <t>Basecamp Pro Unlimited</t>
        </is>
      </c>
      <c r="D29" s="9" t="n">
        <v>299</v>
      </c>
      <c r="E29" s="9" t="n">
        <v/>
      </c>
      <c r="F29" s="9" t="inlineStr">
        <is>
          <t>flat</t>
        </is>
      </c>
    </row>
    <row r="30">
      <c r="A30" s="9" t="n">
        <v>29</v>
      </c>
      <c r="B30" s="9" t="inlineStr">
        <is>
          <t>Wrike</t>
        </is>
      </c>
      <c r="C30" s="9" t="inlineStr">
        <is>
          <t>Free</t>
        </is>
      </c>
      <c r="D30" s="9" t="n">
        <v>0</v>
      </c>
      <c r="E30" s="9" t="n">
        <v/>
      </c>
      <c r="F30" s="9" t="inlineStr">
        <is>
          <t>flat</t>
        </is>
      </c>
    </row>
    <row r="31">
      <c r="A31" s="9" t="n">
        <v>30</v>
      </c>
      <c r="B31" s="9" t="inlineStr">
        <is>
          <t>Wrike</t>
        </is>
      </c>
      <c r="C31" s="9" t="inlineStr">
        <is>
          <t>Team</t>
        </is>
      </c>
      <c r="D31" s="9" t="n">
        <v>10</v>
      </c>
      <c r="E31" s="9" t="n">
        <v/>
      </c>
      <c r="F31" s="9" t="inlineStr">
        <is>
          <t>per-seat</t>
        </is>
      </c>
    </row>
    <row r="32">
      <c r="A32" s="9" t="n">
        <v>31</v>
      </c>
      <c r="B32" s="9" t="inlineStr">
        <is>
          <t>Wrike</t>
        </is>
      </c>
      <c r="C32" s="9" t="inlineStr">
        <is>
          <t>Business</t>
        </is>
      </c>
      <c r="D32" s="9" t="n">
        <v>25</v>
      </c>
      <c r="E32" s="9" t="n">
        <v/>
      </c>
      <c r="F32" s="9" t="inlineStr">
        <is>
          <t>per-seat</t>
        </is>
      </c>
    </row>
    <row r="33">
      <c r="A33" s="9" t="n">
        <v>32</v>
      </c>
      <c r="B33" s="9" t="inlineStr">
        <is>
          <t>Wrike</t>
        </is>
      </c>
      <c r="C33" s="9" t="inlineStr">
        <is>
          <t>Pinnacle</t>
        </is>
      </c>
      <c r="D33" s="9" t="n">
        <v/>
      </c>
      <c r="E33" s="9" t="n">
        <v/>
      </c>
      <c r="F33" s="9" t="inlineStr">
        <is>
          <t>per-seat</t>
        </is>
      </c>
    </row>
    <row r="34">
      <c r="A34" s="9" t="n">
        <v>33</v>
      </c>
      <c r="B34" s="9" t="inlineStr">
        <is>
          <t>Teamwork</t>
        </is>
      </c>
      <c r="C34" s="9" t="inlineStr">
        <is>
          <t>Free</t>
        </is>
      </c>
      <c r="D34" s="9" t="n">
        <v>0</v>
      </c>
      <c r="E34" s="9" t="n">
        <v/>
      </c>
      <c r="F34" s="9" t="inlineStr">
        <is>
          <t>flat</t>
        </is>
      </c>
    </row>
    <row r="35">
      <c r="A35" s="9" t="n">
        <v>34</v>
      </c>
      <c r="B35" s="9" t="inlineStr">
        <is>
          <t>Teamwork</t>
        </is>
      </c>
      <c r="C35" s="9" t="inlineStr">
        <is>
          <t>Deliver</t>
        </is>
      </c>
      <c r="D35" s="9" t="n">
        <v>13.99</v>
      </c>
      <c r="E35" s="9" t="n">
        <v/>
      </c>
      <c r="F35" s="9" t="inlineStr">
        <is>
          <t>per-seat</t>
        </is>
      </c>
    </row>
    <row r="36">
      <c r="A36" s="9" t="n">
        <v>35</v>
      </c>
      <c r="B36" s="9" t="inlineStr">
        <is>
          <t>Teamwork</t>
        </is>
      </c>
      <c r="C36" s="9" t="inlineStr">
        <is>
          <t>Grow</t>
        </is>
      </c>
      <c r="D36" s="9" t="n">
        <v>25.99</v>
      </c>
      <c r="E36" s="9" t="n">
        <v/>
      </c>
      <c r="F36" s="9" t="inlineStr">
        <is>
          <t>per-seat</t>
        </is>
      </c>
    </row>
    <row r="37">
      <c r="A37" s="9" t="n">
        <v>36</v>
      </c>
      <c r="B37" s="9" t="inlineStr">
        <is>
          <t>Teamwork</t>
        </is>
      </c>
      <c r="C37" s="9" t="inlineStr">
        <is>
          <t>Scale</t>
        </is>
      </c>
      <c r="D37" s="9" t="n">
        <v>69.98999999999999</v>
      </c>
      <c r="E37" s="9" t="n">
        <v/>
      </c>
      <c r="F37" s="9" t="inlineStr">
        <is>
          <t>per-seat</t>
        </is>
      </c>
    </row>
    <row r="38">
      <c r="A38" s="9" t="n">
        <v>37</v>
      </c>
      <c r="B38" s="9" t="inlineStr">
        <is>
          <t>Linear</t>
        </is>
      </c>
      <c r="C38" s="9" t="inlineStr">
        <is>
          <t>Free</t>
        </is>
      </c>
      <c r="D38" s="9" t="n">
        <v>0</v>
      </c>
      <c r="E38" s="9" t="n">
        <v/>
      </c>
      <c r="F38" s="9" t="inlineStr">
        <is>
          <t>flat</t>
        </is>
      </c>
    </row>
    <row r="39">
      <c r="A39" s="9" t="n">
        <v>38</v>
      </c>
      <c r="B39" s="9" t="inlineStr">
        <is>
          <t>Linear</t>
        </is>
      </c>
      <c r="C39" s="9" t="inlineStr">
        <is>
          <t>Basic</t>
        </is>
      </c>
      <c r="D39" s="9" t="n">
        <v>10</v>
      </c>
      <c r="E39" s="9" t="n">
        <v/>
      </c>
      <c r="F39" s="9" t="inlineStr">
        <is>
          <t>per-seat</t>
        </is>
      </c>
    </row>
    <row r="40">
      <c r="A40" s="9" t="n">
        <v>39</v>
      </c>
      <c r="B40" s="9" t="inlineStr">
        <is>
          <t>Linear</t>
        </is>
      </c>
      <c r="C40" s="9" t="inlineStr">
        <is>
          <t>Business</t>
        </is>
      </c>
      <c r="D40" s="9" t="n">
        <v>16</v>
      </c>
      <c r="E40" s="9" t="n">
        <v/>
      </c>
      <c r="F40" s="9" t="inlineStr">
        <is>
          <t>per-seat</t>
        </is>
      </c>
    </row>
    <row r="41">
      <c r="A41" s="9" t="n">
        <v>40</v>
      </c>
      <c r="B41" s="9" t="inlineStr">
        <is>
          <t>Linear</t>
        </is>
      </c>
      <c r="C41" s="9" t="inlineStr">
        <is>
          <t>Enterprise</t>
        </is>
      </c>
      <c r="D41" s="9" t="n">
        <v/>
      </c>
      <c r="E41" s="9" t="n">
        <v/>
      </c>
      <c r="F41" s="9" t="inlineStr">
        <is>
          <t>per-seat</t>
        </is>
      </c>
    </row>
    <row r="42">
      <c r="A42" s="9" t="n">
        <v>41</v>
      </c>
      <c r="B42" s="9" t="inlineStr">
        <is>
          <t>Height</t>
        </is>
      </c>
      <c r="C42" s="9" t="inlineStr">
        <is>
          <t>Free</t>
        </is>
      </c>
      <c r="D42" s="9" t="n">
        <v>0</v>
      </c>
      <c r="E42" s="9" t="n">
        <v/>
      </c>
      <c r="F42" s="9" t="inlineStr">
        <is>
          <t>flat</t>
        </is>
      </c>
    </row>
    <row r="43">
      <c r="A43" s="9" t="n">
        <v>42</v>
      </c>
      <c r="B43" s="9" t="inlineStr">
        <is>
          <t>Height</t>
        </is>
      </c>
      <c r="C43" s="9" t="inlineStr">
        <is>
          <t>Team</t>
        </is>
      </c>
      <c r="D43" s="9" t="n">
        <v>8.5</v>
      </c>
      <c r="E43" s="9" t="n">
        <v/>
      </c>
      <c r="F43" s="9" t="inlineStr">
        <is>
          <t>per-seat</t>
        </is>
      </c>
    </row>
    <row r="44">
      <c r="A44" s="9" t="n">
        <v>43</v>
      </c>
      <c r="B44" s="9" t="inlineStr">
        <is>
          <t>Height</t>
        </is>
      </c>
      <c r="C44" s="9" t="inlineStr">
        <is>
          <t>Business</t>
        </is>
      </c>
      <c r="D44" s="9" t="n">
        <v>15</v>
      </c>
      <c r="E44" s="9" t="n">
        <v/>
      </c>
      <c r="F44" s="9" t="inlineStr">
        <is>
          <t>per-seat</t>
        </is>
      </c>
    </row>
    <row r="45">
      <c r="A45" s="9" t="n">
        <v>44</v>
      </c>
      <c r="B45" s="9" t="inlineStr">
        <is>
          <t>Hive</t>
        </is>
      </c>
      <c r="C45" s="9" t="inlineStr">
        <is>
          <t>Free</t>
        </is>
      </c>
      <c r="D45" s="9" t="n">
        <v>0</v>
      </c>
      <c r="E45" s="9" t="n">
        <v/>
      </c>
      <c r="F45" s="9" t="inlineStr">
        <is>
          <t>flat</t>
        </is>
      </c>
    </row>
    <row r="46">
      <c r="A46" s="9" t="n">
        <v>45</v>
      </c>
      <c r="B46" s="9" t="inlineStr">
        <is>
          <t>Hive</t>
        </is>
      </c>
      <c r="C46" s="9" t="inlineStr">
        <is>
          <t>Starter</t>
        </is>
      </c>
      <c r="D46" s="9" t="n">
        <v>5</v>
      </c>
      <c r="E46" s="9" t="n">
        <v/>
      </c>
      <c r="F46" s="9" t="inlineStr">
        <is>
          <t>per-seat</t>
        </is>
      </c>
    </row>
    <row r="47">
      <c r="A47" s="9" t="n">
        <v>46</v>
      </c>
      <c r="B47" s="9" t="inlineStr">
        <is>
          <t>Hive</t>
        </is>
      </c>
      <c r="C47" s="9" t="inlineStr">
        <is>
          <t>Teams</t>
        </is>
      </c>
      <c r="D47" s="9" t="n">
        <v>12</v>
      </c>
      <c r="E47" s="9" t="n">
        <v/>
      </c>
      <c r="F47" s="9" t="inlineStr">
        <is>
          <t>per-seat</t>
        </is>
      </c>
    </row>
    <row r="48">
      <c r="A48" s="9" t="n">
        <v>47</v>
      </c>
      <c r="B48" s="9" t="inlineStr">
        <is>
          <t>Hive</t>
        </is>
      </c>
      <c r="C48" s="9" t="inlineStr">
        <is>
          <t>Enterprise</t>
        </is>
      </c>
      <c r="D48" s="9" t="n">
        <v/>
      </c>
      <c r="E48" s="9" t="n">
        <v/>
      </c>
      <c r="F48" s="9" t="inlineStr">
        <is>
          <t>per-seat</t>
        </is>
      </c>
    </row>
    <row r="49">
      <c r="A49" s="9" t="n">
        <v>48</v>
      </c>
      <c r="B49" s="9" t="inlineStr">
        <is>
          <t>Smartsheet</t>
        </is>
      </c>
      <c r="C49" s="9" t="inlineStr">
        <is>
          <t>Pro</t>
        </is>
      </c>
      <c r="D49" s="9" t="n">
        <v>9</v>
      </c>
      <c r="E49" s="9" t="n">
        <v/>
      </c>
      <c r="F49" s="9" t="inlineStr">
        <is>
          <t>per-seat</t>
        </is>
      </c>
    </row>
    <row r="50">
      <c r="A50" s="9" t="n">
        <v>49</v>
      </c>
      <c r="B50" s="9" t="inlineStr">
        <is>
          <t>Smartsheet</t>
        </is>
      </c>
      <c r="C50" s="9" t="inlineStr">
        <is>
          <t>Business</t>
        </is>
      </c>
      <c r="D50" s="9" t="n">
        <v>19</v>
      </c>
      <c r="E50" s="9" t="n">
        <v/>
      </c>
      <c r="F50" s="9" t="inlineStr">
        <is>
          <t>per-seat</t>
        </is>
      </c>
    </row>
    <row r="51">
      <c r="A51" s="9" t="n">
        <v>50</v>
      </c>
      <c r="B51" s="9" t="inlineStr">
        <is>
          <t>Smartsheet</t>
        </is>
      </c>
      <c r="C51" s="9" t="inlineStr">
        <is>
          <t>Enterprise</t>
        </is>
      </c>
      <c r="D51" s="9" t="n">
        <v/>
      </c>
      <c r="E51" s="9" t="n">
        <v/>
      </c>
      <c r="F51" s="9" t="inlineStr">
        <is>
          <t>per-seat</t>
        </is>
      </c>
    </row>
    <row r="52">
      <c r="A52" s="9" t="n">
        <v>51</v>
      </c>
      <c r="B52" s="9" t="inlineStr">
        <is>
          <t>Airtable</t>
        </is>
      </c>
      <c r="C52" s="9" t="inlineStr">
        <is>
          <t>Free</t>
        </is>
      </c>
      <c r="D52" s="9" t="n">
        <v>0</v>
      </c>
      <c r="E52" s="9" t="n">
        <v/>
      </c>
      <c r="F52" s="9" t="inlineStr">
        <is>
          <t>flat</t>
        </is>
      </c>
    </row>
    <row r="53">
      <c r="A53" s="9" t="n">
        <v>52</v>
      </c>
      <c r="B53" s="9" t="inlineStr">
        <is>
          <t>Airtable</t>
        </is>
      </c>
      <c r="C53" s="9" t="inlineStr">
        <is>
          <t>Team</t>
        </is>
      </c>
      <c r="D53" s="9" t="n">
        <v>20</v>
      </c>
      <c r="E53" s="9" t="n">
        <v/>
      </c>
      <c r="F53" s="9" t="inlineStr">
        <is>
          <t>per-seat</t>
        </is>
      </c>
    </row>
    <row r="54">
      <c r="A54" s="9" t="n">
        <v>53</v>
      </c>
      <c r="B54" s="9" t="inlineStr">
        <is>
          <t>Airtable</t>
        </is>
      </c>
      <c r="C54" s="9" t="inlineStr">
        <is>
          <t>Business</t>
        </is>
      </c>
      <c r="D54" s="9" t="n">
        <v>45</v>
      </c>
      <c r="E54" s="9" t="n">
        <v/>
      </c>
      <c r="F54" s="9" t="inlineStr">
        <is>
          <t>per-seat</t>
        </is>
      </c>
    </row>
    <row r="55">
      <c r="A55" s="9" t="n">
        <v>54</v>
      </c>
      <c r="B55" s="9" t="inlineStr">
        <is>
          <t>Airtable</t>
        </is>
      </c>
      <c r="C55" s="9" t="inlineStr">
        <is>
          <t>Enterprise Scale</t>
        </is>
      </c>
      <c r="D55" s="9" t="n">
        <v/>
      </c>
      <c r="E55" s="9" t="n">
        <v/>
      </c>
      <c r="F55" s="9" t="inlineStr">
        <is>
          <t>per-seat</t>
        </is>
      </c>
    </row>
    <row r="56">
      <c r="A56" s="9" t="n">
        <v>55</v>
      </c>
      <c r="B56" s="9" t="inlineStr">
        <is>
          <t>Todoist</t>
        </is>
      </c>
      <c r="C56" s="9" t="inlineStr">
        <is>
          <t>Beginner</t>
        </is>
      </c>
      <c r="D56" s="9" t="n">
        <v>0</v>
      </c>
      <c r="E56" s="9" t="n">
        <v/>
      </c>
      <c r="F56" s="9" t="inlineStr">
        <is>
          <t>flat</t>
        </is>
      </c>
    </row>
    <row r="57">
      <c r="A57" s="9" t="n">
        <v>56</v>
      </c>
      <c r="B57" s="9" t="inlineStr">
        <is>
          <t>Todoist</t>
        </is>
      </c>
      <c r="C57" s="9" t="inlineStr">
        <is>
          <t>Pro</t>
        </is>
      </c>
      <c r="D57" s="9" t="n">
        <v>5</v>
      </c>
      <c r="E57" s="9" t="n">
        <v/>
      </c>
      <c r="F57" s="9" t="inlineStr">
        <is>
          <t>per-seat</t>
        </is>
      </c>
    </row>
    <row r="58">
      <c r="A58" s="9" t="n">
        <v>57</v>
      </c>
      <c r="B58" s="9" t="inlineStr">
        <is>
          <t>Todoist</t>
        </is>
      </c>
      <c r="C58" s="9" t="inlineStr">
        <is>
          <t>Business</t>
        </is>
      </c>
      <c r="D58" s="9" t="n">
        <v>8</v>
      </c>
      <c r="E58" s="9" t="n">
        <v/>
      </c>
      <c r="F58" s="9" t="inlineStr">
        <is>
          <t>per-seat</t>
        </is>
      </c>
    </row>
    <row r="59">
      <c r="A59" s="9" t="n">
        <v>58</v>
      </c>
      <c r="B59" s="9" t="inlineStr">
        <is>
          <t>Miro</t>
        </is>
      </c>
      <c r="C59" s="9" t="inlineStr">
        <is>
          <t>Free</t>
        </is>
      </c>
      <c r="D59" s="9" t="n">
        <v>0</v>
      </c>
      <c r="E59" s="9" t="n">
        <v/>
      </c>
      <c r="F59" s="9" t="inlineStr">
        <is>
          <t>flat</t>
        </is>
      </c>
    </row>
    <row r="60">
      <c r="A60" s="9" t="n">
        <v>59</v>
      </c>
      <c r="B60" s="9" t="inlineStr">
        <is>
          <t>Miro</t>
        </is>
      </c>
      <c r="C60" s="9" t="inlineStr">
        <is>
          <t>Starter</t>
        </is>
      </c>
      <c r="D60" s="9" t="n">
        <v>8</v>
      </c>
      <c r="E60" s="9" t="n">
        <v/>
      </c>
      <c r="F60" s="9" t="inlineStr">
        <is>
          <t>per-seat</t>
        </is>
      </c>
    </row>
    <row r="61">
      <c r="A61" s="9" t="n">
        <v>60</v>
      </c>
      <c r="B61" s="9" t="inlineStr">
        <is>
          <t>Miro</t>
        </is>
      </c>
      <c r="C61" s="9" t="inlineStr">
        <is>
          <t>Business</t>
        </is>
      </c>
      <c r="D61" s="9" t="n">
        <v>20</v>
      </c>
      <c r="E61" s="9" t="n">
        <v/>
      </c>
      <c r="F61" s="9" t="inlineStr">
        <is>
          <t>per-seat</t>
        </is>
      </c>
    </row>
    <row r="62">
      <c r="A62" s="9" t="n">
        <v>61</v>
      </c>
      <c r="B62" s="9" t="inlineStr">
        <is>
          <t>Miro</t>
        </is>
      </c>
      <c r="C62" s="9" t="inlineStr">
        <is>
          <t>Enterprise</t>
        </is>
      </c>
      <c r="D62" s="9" t="n">
        <v/>
      </c>
      <c r="E62" s="9" t="n">
        <v/>
      </c>
      <c r="F62" s="9" t="inlineStr">
        <is>
          <t>per-seat</t>
        </is>
      </c>
    </row>
    <row r="63">
      <c r="A63" s="9" t="n">
        <v>62</v>
      </c>
      <c r="B63" s="9" t="inlineStr">
        <is>
          <t>Coda</t>
        </is>
      </c>
      <c r="C63" s="9" t="inlineStr">
        <is>
          <t>Free</t>
        </is>
      </c>
      <c r="D63" s="9" t="n">
        <v>0</v>
      </c>
      <c r="E63" s="9" t="n">
        <v/>
      </c>
      <c r="F63" s="9" t="inlineStr">
        <is>
          <t>flat</t>
        </is>
      </c>
    </row>
    <row r="64">
      <c r="A64" s="9" t="n">
        <v>63</v>
      </c>
      <c r="B64" s="9" t="inlineStr">
        <is>
          <t>Coda</t>
        </is>
      </c>
      <c r="C64" s="9" t="inlineStr">
        <is>
          <t>Pro</t>
        </is>
      </c>
      <c r="D64" s="9" t="n">
        <v>10</v>
      </c>
      <c r="E64" s="9" t="n">
        <v/>
      </c>
      <c r="F64" s="9" t="inlineStr">
        <is>
          <t>flat</t>
        </is>
      </c>
    </row>
    <row r="65">
      <c r="A65" s="9" t="n">
        <v>64</v>
      </c>
      <c r="B65" s="9" t="inlineStr">
        <is>
          <t>Coda</t>
        </is>
      </c>
      <c r="C65" s="9" t="inlineStr">
        <is>
          <t>Team</t>
        </is>
      </c>
      <c r="D65" s="9" t="n">
        <v>30</v>
      </c>
      <c r="E65" s="9" t="n">
        <v/>
      </c>
      <c r="F65" s="9" t="inlineStr">
        <is>
          <t>flat</t>
        </is>
      </c>
    </row>
    <row r="66">
      <c r="A66" s="9" t="n">
        <v>65</v>
      </c>
      <c r="B66" s="9" t="inlineStr">
        <is>
          <t>Coda</t>
        </is>
      </c>
      <c r="C66" s="9" t="inlineStr">
        <is>
          <t>Enterprise</t>
        </is>
      </c>
      <c r="D66" s="9" t="n">
        <v/>
      </c>
      <c r="E66" s="9" t="n">
        <v/>
      </c>
      <c r="F66" s="9" t="inlineStr">
        <is>
          <t>flat</t>
        </is>
      </c>
    </row>
    <row r="67">
      <c r="A67" s="9" t="n">
        <v>66</v>
      </c>
      <c r="B67" s="9" t="inlineStr">
        <is>
          <t>Shortcut (formerly Clubhouse)</t>
        </is>
      </c>
      <c r="C67" s="9" t="inlineStr">
        <is>
          <t>Free</t>
        </is>
      </c>
      <c r="D67" s="9" t="n">
        <v>0</v>
      </c>
      <c r="E67" s="9" t="n">
        <v/>
      </c>
      <c r="F67" s="9" t="inlineStr">
        <is>
          <t>flat</t>
        </is>
      </c>
    </row>
    <row r="68">
      <c r="A68" s="9" t="n">
        <v>67</v>
      </c>
      <c r="B68" s="9" t="inlineStr">
        <is>
          <t>Shortcut (formerly Clubhouse)</t>
        </is>
      </c>
      <c r="C68" s="9" t="inlineStr">
        <is>
          <t>Team</t>
        </is>
      </c>
      <c r="D68" s="9" t="n">
        <v>8.5</v>
      </c>
      <c r="E68" s="9" t="n">
        <v/>
      </c>
      <c r="F68" s="9" t="inlineStr">
        <is>
          <t>per-seat</t>
        </is>
      </c>
    </row>
    <row r="69">
      <c r="A69" s="9" t="n">
        <v>68</v>
      </c>
      <c r="B69" s="9" t="inlineStr">
        <is>
          <t>Shortcut (formerly Clubhouse)</t>
        </is>
      </c>
      <c r="C69" s="9" t="inlineStr">
        <is>
          <t>Business</t>
        </is>
      </c>
      <c r="D69" s="9" t="n">
        <v>12</v>
      </c>
      <c r="E69" s="9" t="n">
        <v/>
      </c>
      <c r="F69" s="9" t="inlineStr">
        <is>
          <t>per-seat</t>
        </is>
      </c>
    </row>
    <row r="70">
      <c r="A70" s="9" t="n">
        <v>69</v>
      </c>
      <c r="B70" s="9" t="inlineStr">
        <is>
          <t>Shortcut (formerly Clubhouse)</t>
        </is>
      </c>
      <c r="C70" s="9" t="inlineStr">
        <is>
          <t>Enterprise</t>
        </is>
      </c>
      <c r="D70" s="9" t="n">
        <v/>
      </c>
      <c r="E70" s="9" t="n">
        <v/>
      </c>
      <c r="F70" s="9" t="inlineStr">
        <is>
          <t>per-seat</t>
        </is>
      </c>
    </row>
    <row r="71">
      <c r="A71" s="9" t="n">
        <v>70</v>
      </c>
      <c r="B71" s="9" t="inlineStr">
        <is>
          <t>Nifty</t>
        </is>
      </c>
      <c r="C71" s="9" t="inlineStr">
        <is>
          <t>Free</t>
        </is>
      </c>
      <c r="D71" s="9" t="n">
        <v>0</v>
      </c>
      <c r="E71" s="9" t="n">
        <v/>
      </c>
      <c r="F71" s="9" t="inlineStr">
        <is>
          <t>flat</t>
        </is>
      </c>
    </row>
    <row r="72">
      <c r="A72" s="9" t="n">
        <v>71</v>
      </c>
      <c r="B72" s="9" t="inlineStr">
        <is>
          <t>Nifty</t>
        </is>
      </c>
      <c r="C72" s="9" t="inlineStr">
        <is>
          <t>Starter</t>
        </is>
      </c>
      <c r="D72" s="9" t="n">
        <v>39</v>
      </c>
      <c r="E72" s="9" t="n">
        <v>468</v>
      </c>
      <c r="F72" s="9" t="inlineStr">
        <is>
          <t>flat</t>
        </is>
      </c>
    </row>
    <row r="73">
      <c r="A73" s="9" t="n">
        <v>72</v>
      </c>
      <c r="B73" s="9" t="inlineStr">
        <is>
          <t>Nifty</t>
        </is>
      </c>
      <c r="C73" s="9" t="inlineStr">
        <is>
          <t>Business</t>
        </is>
      </c>
      <c r="D73" s="9" t="n">
        <v>124</v>
      </c>
      <c r="E73" s="9" t="n">
        <v>1488</v>
      </c>
      <c r="F73" s="9" t="inlineStr">
        <is>
          <t>flat</t>
        </is>
      </c>
    </row>
    <row r="74">
      <c r="A74" s="9" t="n">
        <v>73</v>
      </c>
      <c r="B74" s="9" t="inlineStr">
        <is>
          <t>Nifty</t>
        </is>
      </c>
      <c r="C74" s="9" t="inlineStr">
        <is>
          <t>Unlimited</t>
        </is>
      </c>
      <c r="D74" s="9" t="n">
        <v>399</v>
      </c>
      <c r="E74" s="9" t="n">
        <v>4788</v>
      </c>
      <c r="F74" s="9" t="inlineStr">
        <is>
          <t>flat</t>
        </is>
      </c>
    </row>
    <row r="75">
      <c r="A75" s="9" t="n">
        <v>74</v>
      </c>
      <c r="B75" s="9" t="inlineStr">
        <is>
          <t>Zoho Projects</t>
        </is>
      </c>
      <c r="C75" s="9" t="inlineStr">
        <is>
          <t>Free</t>
        </is>
      </c>
      <c r="D75" s="9" t="n">
        <v>0</v>
      </c>
      <c r="E75" s="9" t="n">
        <v/>
      </c>
      <c r="F75" s="9" t="inlineStr">
        <is>
          <t>flat</t>
        </is>
      </c>
    </row>
    <row r="76">
      <c r="A76" s="9" t="n">
        <v>75</v>
      </c>
      <c r="B76" s="9" t="inlineStr">
        <is>
          <t>Zoho Projects</t>
        </is>
      </c>
      <c r="C76" s="9" t="inlineStr">
        <is>
          <t>Premium</t>
        </is>
      </c>
      <c r="D76" s="9" t="n">
        <v>5</v>
      </c>
      <c r="E76" s="9" t="n">
        <v/>
      </c>
      <c r="F76" s="9" t="inlineStr">
        <is>
          <t>per-seat</t>
        </is>
      </c>
    </row>
    <row r="77">
      <c r="A77" s="9" t="n">
        <v>76</v>
      </c>
      <c r="B77" s="9" t="inlineStr">
        <is>
          <t>Zoho Projects</t>
        </is>
      </c>
      <c r="C77" s="9" t="inlineStr">
        <is>
          <t>Enterprise</t>
        </is>
      </c>
      <c r="D77" s="9" t="n">
        <v>10</v>
      </c>
      <c r="E77" s="9" t="n">
        <v/>
      </c>
      <c r="F77" s="9" t="inlineStr">
        <is>
          <t>per-seat</t>
        </is>
      </c>
    </row>
    <row r="78">
      <c r="A78" s="9" t="n">
        <v>77</v>
      </c>
      <c r="B78" s="9" t="inlineStr">
        <is>
          <t>Salesforce</t>
        </is>
      </c>
      <c r="C78" s="9" t="inlineStr">
        <is>
          <t>Starter Suite</t>
        </is>
      </c>
      <c r="D78" s="9" t="n">
        <v>25</v>
      </c>
      <c r="E78" s="9" t="n">
        <v/>
      </c>
      <c r="F78" s="9" t="inlineStr">
        <is>
          <t>per-seat</t>
        </is>
      </c>
    </row>
    <row r="79">
      <c r="A79" s="9" t="n">
        <v>78</v>
      </c>
      <c r="B79" s="9" t="inlineStr">
        <is>
          <t>Salesforce</t>
        </is>
      </c>
      <c r="C79" s="9" t="inlineStr">
        <is>
          <t>Pro Suite</t>
        </is>
      </c>
      <c r="D79" s="9" t="n">
        <v>100</v>
      </c>
      <c r="E79" s="9" t="n">
        <v/>
      </c>
      <c r="F79" s="9" t="inlineStr">
        <is>
          <t>per-seat</t>
        </is>
      </c>
    </row>
    <row r="80">
      <c r="A80" s="9" t="n">
        <v>79</v>
      </c>
      <c r="B80" s="9" t="inlineStr">
        <is>
          <t>Salesforce</t>
        </is>
      </c>
      <c r="C80" s="9" t="inlineStr">
        <is>
          <t>Enterprise</t>
        </is>
      </c>
      <c r="D80" s="9" t="n">
        <v>165</v>
      </c>
      <c r="E80" s="9" t="n">
        <v/>
      </c>
      <c r="F80" s="9" t="inlineStr">
        <is>
          <t>per-seat</t>
        </is>
      </c>
    </row>
    <row r="81">
      <c r="A81" s="9" t="n">
        <v>80</v>
      </c>
      <c r="B81" s="9" t="inlineStr">
        <is>
          <t>Salesforce</t>
        </is>
      </c>
      <c r="C81" s="9" t="inlineStr">
        <is>
          <t>Unlimited</t>
        </is>
      </c>
      <c r="D81" s="9" t="n">
        <v>330</v>
      </c>
      <c r="E81" s="9" t="n">
        <v/>
      </c>
      <c r="F81" s="9" t="inlineStr">
        <is>
          <t>per-seat</t>
        </is>
      </c>
    </row>
    <row r="82">
      <c r="A82" s="9" t="n">
        <v>81</v>
      </c>
      <c r="B82" s="9" t="inlineStr">
        <is>
          <t>HubSpot</t>
        </is>
      </c>
      <c r="C82" s="9" t="inlineStr">
        <is>
          <t>Free Tools</t>
        </is>
      </c>
      <c r="D82" s="9" t="n">
        <v>0</v>
      </c>
      <c r="E82" s="9" t="n">
        <v/>
      </c>
      <c r="F82" s="9" t="inlineStr">
        <is>
          <t>flat</t>
        </is>
      </c>
    </row>
    <row r="83">
      <c r="A83" s="9" t="n">
        <v>82</v>
      </c>
      <c r="B83" s="9" t="inlineStr">
        <is>
          <t>HubSpot</t>
        </is>
      </c>
      <c r="C83" s="9" t="inlineStr">
        <is>
          <t>Starter</t>
        </is>
      </c>
      <c r="D83" s="9" t="n">
        <v>20</v>
      </c>
      <c r="E83" s="9" t="n">
        <v/>
      </c>
      <c r="F83" s="9" t="inlineStr">
        <is>
          <t>per-seat</t>
        </is>
      </c>
    </row>
    <row r="84">
      <c r="A84" s="9" t="n">
        <v>83</v>
      </c>
      <c r="B84" s="9" t="inlineStr">
        <is>
          <t>HubSpot</t>
        </is>
      </c>
      <c r="C84" s="9" t="inlineStr">
        <is>
          <t>Professional</t>
        </is>
      </c>
      <c r="D84" s="9" t="n">
        <v>890</v>
      </c>
      <c r="E84" s="9" t="n">
        <v/>
      </c>
      <c r="F84" s="9" t="inlineStr">
        <is>
          <t>flat</t>
        </is>
      </c>
    </row>
    <row r="85">
      <c r="A85" s="9" t="n">
        <v>84</v>
      </c>
      <c r="B85" s="9" t="inlineStr">
        <is>
          <t>HubSpot</t>
        </is>
      </c>
      <c r="C85" s="9" t="inlineStr">
        <is>
          <t>Enterprise</t>
        </is>
      </c>
      <c r="D85" s="9" t="n">
        <v>3600</v>
      </c>
      <c r="E85" s="9" t="n">
        <v/>
      </c>
      <c r="F85" s="9" t="inlineStr">
        <is>
          <t>flat</t>
        </is>
      </c>
    </row>
    <row r="86">
      <c r="A86" s="9" t="n">
        <v>85</v>
      </c>
      <c r="B86" s="9" t="inlineStr">
        <is>
          <t>Pipedrive</t>
        </is>
      </c>
      <c r="C86" s="9" t="inlineStr">
        <is>
          <t>Essential</t>
        </is>
      </c>
      <c r="D86" s="9" t="n">
        <v>14</v>
      </c>
      <c r="E86" s="9" t="n">
        <v>168</v>
      </c>
      <c r="F86" s="9" t="inlineStr">
        <is>
          <t>per-seat</t>
        </is>
      </c>
    </row>
    <row r="87">
      <c r="A87" s="9" t="n">
        <v>86</v>
      </c>
      <c r="B87" s="9" t="inlineStr">
        <is>
          <t>Pipedrive</t>
        </is>
      </c>
      <c r="C87" s="9" t="inlineStr">
        <is>
          <t>Growth</t>
        </is>
      </c>
      <c r="D87" s="9" t="n">
        <v>39</v>
      </c>
      <c r="E87" s="9" t="n">
        <v>468</v>
      </c>
      <c r="F87" s="9" t="inlineStr">
        <is>
          <t>per-seat</t>
        </is>
      </c>
    </row>
    <row r="88">
      <c r="A88" s="9" t="n">
        <v>87</v>
      </c>
      <c r="B88" s="9" t="inlineStr">
        <is>
          <t>Pipedrive</t>
        </is>
      </c>
      <c r="C88" s="9" t="inlineStr">
        <is>
          <t>Professional</t>
        </is>
      </c>
      <c r="D88" s="9" t="n">
        <v>49</v>
      </c>
      <c r="E88" s="9" t="n">
        <v>588</v>
      </c>
      <c r="F88" s="9" t="inlineStr">
        <is>
          <t>per-seat</t>
        </is>
      </c>
    </row>
    <row r="89">
      <c r="A89" s="9" t="n">
        <v>88</v>
      </c>
      <c r="B89" s="9" t="inlineStr">
        <is>
          <t>Pipedrive</t>
        </is>
      </c>
      <c r="C89" s="9" t="inlineStr">
        <is>
          <t>Power</t>
        </is>
      </c>
      <c r="D89" s="9" t="n">
        <v>64</v>
      </c>
      <c r="E89" s="9" t="n">
        <v>768</v>
      </c>
      <c r="F89" s="9" t="inlineStr">
        <is>
          <t>per-seat</t>
        </is>
      </c>
    </row>
    <row r="90">
      <c r="A90" s="9" t="n">
        <v>89</v>
      </c>
      <c r="B90" s="9" t="inlineStr">
        <is>
          <t>Pipedrive</t>
        </is>
      </c>
      <c r="C90" s="9" t="inlineStr">
        <is>
          <t>Enterprise</t>
        </is>
      </c>
      <c r="D90" s="9" t="n">
        <v>99</v>
      </c>
      <c r="E90" s="9" t="n">
        <v>1188</v>
      </c>
      <c r="F90" s="9" t="inlineStr">
        <is>
          <t>per-seat</t>
        </is>
      </c>
    </row>
    <row r="91">
      <c r="A91" s="9" t="n">
        <v>90</v>
      </c>
      <c r="B91" s="9" t="inlineStr">
        <is>
          <t>Zoho CRM</t>
        </is>
      </c>
      <c r="C91" s="9" t="inlineStr">
        <is>
          <t>Free</t>
        </is>
      </c>
      <c r="D91" s="9" t="n">
        <v>0</v>
      </c>
      <c r="E91" s="9" t="n">
        <v/>
      </c>
      <c r="F91" s="9" t="inlineStr">
        <is>
          <t>flat</t>
        </is>
      </c>
    </row>
    <row r="92">
      <c r="A92" s="9" t="n">
        <v>91</v>
      </c>
      <c r="B92" s="9" t="inlineStr">
        <is>
          <t>Zoho CRM</t>
        </is>
      </c>
      <c r="C92" s="9" t="inlineStr">
        <is>
          <t>Standard</t>
        </is>
      </c>
      <c r="D92" s="9" t="n">
        <v>20</v>
      </c>
      <c r="E92" s="9" t="n">
        <v/>
      </c>
      <c r="F92" s="9" t="inlineStr">
        <is>
          <t>per-seat</t>
        </is>
      </c>
    </row>
    <row r="93">
      <c r="A93" s="9" t="n">
        <v>92</v>
      </c>
      <c r="B93" s="9" t="inlineStr">
        <is>
          <t>Zoho CRM</t>
        </is>
      </c>
      <c r="C93" s="9" t="inlineStr">
        <is>
          <t>Professional</t>
        </is>
      </c>
      <c r="D93" s="9" t="n">
        <v>35</v>
      </c>
      <c r="E93" s="9" t="n">
        <v/>
      </c>
      <c r="F93" s="9" t="inlineStr">
        <is>
          <t>per-seat</t>
        </is>
      </c>
    </row>
    <row r="94">
      <c r="A94" s="9" t="n">
        <v>93</v>
      </c>
      <c r="B94" s="9" t="inlineStr">
        <is>
          <t>Zoho CRM</t>
        </is>
      </c>
      <c r="C94" s="9" t="inlineStr">
        <is>
          <t>Enterprise</t>
        </is>
      </c>
      <c r="D94" s="9" t="n">
        <v>50</v>
      </c>
      <c r="E94" s="9" t="n">
        <v/>
      </c>
      <c r="F94" s="9" t="inlineStr">
        <is>
          <t>per-seat</t>
        </is>
      </c>
    </row>
    <row r="95">
      <c r="A95" s="9" t="n">
        <v>94</v>
      </c>
      <c r="B95" s="9" t="inlineStr">
        <is>
          <t>Zoho CRM</t>
        </is>
      </c>
      <c r="C95" s="9" t="inlineStr">
        <is>
          <t>Ultimate</t>
        </is>
      </c>
      <c r="D95" s="9" t="n">
        <v>65</v>
      </c>
      <c r="E95" s="9" t="n">
        <v/>
      </c>
      <c r="F95" s="9" t="inlineStr">
        <is>
          <t>per-seat</t>
        </is>
      </c>
    </row>
    <row r="96">
      <c r="A96" s="9" t="n">
        <v>95</v>
      </c>
      <c r="B96" s="9" t="inlineStr">
        <is>
          <t>Freshsales</t>
        </is>
      </c>
      <c r="C96" s="9" t="inlineStr">
        <is>
          <t>Free</t>
        </is>
      </c>
      <c r="D96" s="9" t="n">
        <v>0</v>
      </c>
      <c r="E96" s="9" t="n">
        <v/>
      </c>
      <c r="F96" s="9" t="inlineStr">
        <is>
          <t>flat</t>
        </is>
      </c>
    </row>
    <row r="97">
      <c r="A97" s="9" t="n">
        <v>96</v>
      </c>
      <c r="B97" s="9" t="inlineStr">
        <is>
          <t>Freshsales</t>
        </is>
      </c>
      <c r="C97" s="9" t="inlineStr">
        <is>
          <t>Growth</t>
        </is>
      </c>
      <c r="D97" s="9" t="n">
        <v>11</v>
      </c>
      <c r="E97" s="9" t="n">
        <v/>
      </c>
      <c r="F97" s="9" t="inlineStr">
        <is>
          <t>per-seat</t>
        </is>
      </c>
    </row>
    <row r="98">
      <c r="A98" s="9" t="n">
        <v>97</v>
      </c>
      <c r="B98" s="9" t="inlineStr">
        <is>
          <t>Freshsales</t>
        </is>
      </c>
      <c r="C98" s="9" t="inlineStr">
        <is>
          <t>Pro</t>
        </is>
      </c>
      <c r="D98" s="9" t="n">
        <v>47</v>
      </c>
      <c r="E98" s="9" t="n">
        <v/>
      </c>
      <c r="F98" s="9" t="inlineStr">
        <is>
          <t>per-seat</t>
        </is>
      </c>
    </row>
    <row r="99">
      <c r="A99" s="9" t="n">
        <v>98</v>
      </c>
      <c r="B99" s="9" t="inlineStr">
        <is>
          <t>Freshsales</t>
        </is>
      </c>
      <c r="C99" s="9" t="inlineStr">
        <is>
          <t>Enterprise</t>
        </is>
      </c>
      <c r="D99" s="9" t="n">
        <v>71</v>
      </c>
      <c r="E99" s="9" t="n">
        <v/>
      </c>
      <c r="F99" s="9" t="inlineStr">
        <is>
          <t>per-seat</t>
        </is>
      </c>
    </row>
    <row r="100">
      <c r="A100" s="9" t="n">
        <v>99</v>
      </c>
      <c r="B100" s="9" t="inlineStr">
        <is>
          <t>Close</t>
        </is>
      </c>
      <c r="C100" s="9" t="inlineStr">
        <is>
          <t>Startup</t>
        </is>
      </c>
      <c r="D100" s="9" t="n">
        <v>49</v>
      </c>
      <c r="E100" s="9" t="n">
        <v/>
      </c>
      <c r="F100" s="9" t="inlineStr">
        <is>
          <t>per-seat</t>
        </is>
      </c>
    </row>
    <row r="101">
      <c r="A101" s="9" t="n">
        <v>100</v>
      </c>
      <c r="B101" s="9" t="inlineStr">
        <is>
          <t>Close</t>
        </is>
      </c>
      <c r="C101" s="9" t="inlineStr">
        <is>
          <t>Professional</t>
        </is>
      </c>
      <c r="D101" s="9" t="n">
        <v>99</v>
      </c>
      <c r="E101" s="9" t="n">
        <v/>
      </c>
      <c r="F101" s="9" t="inlineStr">
        <is>
          <t>per-seat</t>
        </is>
      </c>
    </row>
    <row r="102">
      <c r="A102" s="9" t="n">
        <v>101</v>
      </c>
      <c r="B102" s="9" t="inlineStr">
        <is>
          <t>Close</t>
        </is>
      </c>
      <c r="C102" s="9" t="inlineStr">
        <is>
          <t>Enterprise</t>
        </is>
      </c>
      <c r="D102" s="9" t="n">
        <v>139</v>
      </c>
      <c r="E102" s="9" t="n">
        <v/>
      </c>
      <c r="F102" s="9" t="inlineStr">
        <is>
          <t>per-seat</t>
        </is>
      </c>
    </row>
    <row r="103">
      <c r="A103" s="9" t="n">
        <v>102</v>
      </c>
      <c r="B103" s="9" t="inlineStr">
        <is>
          <t>Copper</t>
        </is>
      </c>
      <c r="C103" s="9" t="inlineStr">
        <is>
          <t>Starter</t>
        </is>
      </c>
      <c r="D103" s="9" t="n">
        <v>12</v>
      </c>
      <c r="E103" s="9" t="n">
        <v/>
      </c>
      <c r="F103" s="9" t="inlineStr">
        <is>
          <t>per-seat</t>
        </is>
      </c>
    </row>
    <row r="104">
      <c r="A104" s="9" t="n">
        <v>103</v>
      </c>
      <c r="B104" s="9" t="inlineStr">
        <is>
          <t>Copper</t>
        </is>
      </c>
      <c r="C104" s="9" t="inlineStr">
        <is>
          <t>Basic</t>
        </is>
      </c>
      <c r="D104" s="9" t="n">
        <v>29</v>
      </c>
      <c r="E104" s="9" t="n">
        <v/>
      </c>
      <c r="F104" s="9" t="inlineStr">
        <is>
          <t>per-seat</t>
        </is>
      </c>
    </row>
    <row r="105">
      <c r="A105" s="9" t="n">
        <v>104</v>
      </c>
      <c r="B105" s="9" t="inlineStr">
        <is>
          <t>Copper</t>
        </is>
      </c>
      <c r="C105" s="9" t="inlineStr">
        <is>
          <t>Professional</t>
        </is>
      </c>
      <c r="D105" s="9" t="n">
        <v>69</v>
      </c>
      <c r="E105" s="9" t="n">
        <v/>
      </c>
      <c r="F105" s="9" t="inlineStr">
        <is>
          <t>per-seat</t>
        </is>
      </c>
    </row>
    <row r="106">
      <c r="A106" s="9" t="n">
        <v>105</v>
      </c>
      <c r="B106" s="9" t="inlineStr">
        <is>
          <t>Copper</t>
        </is>
      </c>
      <c r="C106" s="9" t="inlineStr">
        <is>
          <t>Business</t>
        </is>
      </c>
      <c r="D106" s="9" t="n">
        <v>134</v>
      </c>
      <c r="E106" s="9" t="n">
        <v/>
      </c>
      <c r="F106" s="9" t="inlineStr">
        <is>
          <t>per-seat</t>
        </is>
      </c>
    </row>
    <row r="107">
      <c r="A107" s="9" t="n">
        <v>106</v>
      </c>
      <c r="B107" s="9" t="inlineStr">
        <is>
          <t>Insightly</t>
        </is>
      </c>
      <c r="C107" s="9" t="inlineStr">
        <is>
          <t>Free</t>
        </is>
      </c>
      <c r="D107" s="9" t="n">
        <v>0</v>
      </c>
      <c r="E107" s="9" t="n">
        <v/>
      </c>
      <c r="F107" s="9" t="inlineStr">
        <is>
          <t>flat</t>
        </is>
      </c>
    </row>
    <row r="108">
      <c r="A108" s="9" t="n">
        <v>107</v>
      </c>
      <c r="B108" s="9" t="inlineStr">
        <is>
          <t>Insightly</t>
        </is>
      </c>
      <c r="C108" s="9" t="inlineStr">
        <is>
          <t>Plus</t>
        </is>
      </c>
      <c r="D108" s="9" t="n">
        <v>29</v>
      </c>
      <c r="E108" s="9" t="n">
        <v/>
      </c>
      <c r="F108" s="9" t="inlineStr">
        <is>
          <t>per-seat</t>
        </is>
      </c>
    </row>
    <row r="109">
      <c r="A109" s="9" t="n">
        <v>108</v>
      </c>
      <c r="B109" s="9" t="inlineStr">
        <is>
          <t>Insightly</t>
        </is>
      </c>
      <c r="C109" s="9" t="inlineStr">
        <is>
          <t>Professional</t>
        </is>
      </c>
      <c r="D109" s="9" t="n">
        <v>49</v>
      </c>
      <c r="E109" s="9" t="n">
        <v/>
      </c>
      <c r="F109" s="9" t="inlineStr">
        <is>
          <t>per-seat</t>
        </is>
      </c>
    </row>
    <row r="110">
      <c r="A110" s="9" t="n">
        <v>109</v>
      </c>
      <c r="B110" s="9" t="inlineStr">
        <is>
          <t>Insightly</t>
        </is>
      </c>
      <c r="C110" s="9" t="inlineStr">
        <is>
          <t>Enterprise</t>
        </is>
      </c>
      <c r="D110" s="9" t="n">
        <v>99</v>
      </c>
      <c r="E110" s="9" t="n">
        <v/>
      </c>
      <c r="F110" s="9" t="inlineStr">
        <is>
          <t>per-seat</t>
        </is>
      </c>
    </row>
    <row r="111">
      <c r="A111" s="9" t="n">
        <v>110</v>
      </c>
      <c r="B111" s="9" t="inlineStr">
        <is>
          <t>Keap</t>
        </is>
      </c>
      <c r="C111" s="9" t="inlineStr">
        <is>
          <t>Ignite</t>
        </is>
      </c>
      <c r="D111" s="9" t="n">
        <v>299</v>
      </c>
      <c r="E111" s="9" t="n">
        <v/>
      </c>
      <c r="F111" s="9" t="inlineStr">
        <is>
          <t>flat</t>
        </is>
      </c>
    </row>
    <row r="112">
      <c r="A112" s="9" t="n">
        <v>111</v>
      </c>
      <c r="B112" s="9" t="inlineStr">
        <is>
          <t>Keap</t>
        </is>
      </c>
      <c r="C112" s="9" t="inlineStr">
        <is>
          <t>Grow</t>
        </is>
      </c>
      <c r="D112" s="9" t="n">
        <v>399</v>
      </c>
      <c r="E112" s="9" t="n">
        <v/>
      </c>
      <c r="F112" s="9" t="inlineStr">
        <is>
          <t>flat</t>
        </is>
      </c>
    </row>
    <row r="113">
      <c r="A113" s="9" t="n">
        <v>112</v>
      </c>
      <c r="B113" s="9" t="inlineStr">
        <is>
          <t>Keap</t>
        </is>
      </c>
      <c r="C113" s="9" t="inlineStr">
        <is>
          <t>Scale</t>
        </is>
      </c>
      <c r="D113" s="9" t="n">
        <v>599</v>
      </c>
      <c r="E113" s="9" t="n">
        <v/>
      </c>
      <c r="F113" s="9" t="inlineStr">
        <is>
          <t>flat</t>
        </is>
      </c>
    </row>
    <row r="114">
      <c r="A114" s="9" t="n">
        <v>113</v>
      </c>
      <c r="B114" s="9" t="inlineStr">
        <is>
          <t>Streak</t>
        </is>
      </c>
      <c r="C114" s="9" t="inlineStr">
        <is>
          <t>Free</t>
        </is>
      </c>
      <c r="D114" s="9" t="n">
        <v>0</v>
      </c>
      <c r="E114" s="9" t="n">
        <v/>
      </c>
      <c r="F114" s="9" t="inlineStr">
        <is>
          <t>flat</t>
        </is>
      </c>
    </row>
    <row r="115">
      <c r="A115" s="9" t="n">
        <v>114</v>
      </c>
      <c r="B115" s="9" t="inlineStr">
        <is>
          <t>Streak</t>
        </is>
      </c>
      <c r="C115" s="9" t="inlineStr">
        <is>
          <t>Solo</t>
        </is>
      </c>
      <c r="D115" s="9" t="n">
        <v>15</v>
      </c>
      <c r="E115" s="9" t="n">
        <v/>
      </c>
      <c r="F115" s="9" t="inlineStr">
        <is>
          <t>per-seat</t>
        </is>
      </c>
    </row>
    <row r="116">
      <c r="A116" s="9" t="n">
        <v>115</v>
      </c>
      <c r="B116" s="9" t="inlineStr">
        <is>
          <t>Streak</t>
        </is>
      </c>
      <c r="C116" s="9" t="inlineStr">
        <is>
          <t>Pro</t>
        </is>
      </c>
      <c r="D116" s="9" t="n">
        <v>49</v>
      </c>
      <c r="E116" s="9" t="n">
        <v/>
      </c>
      <c r="F116" s="9" t="inlineStr">
        <is>
          <t>per-seat</t>
        </is>
      </c>
    </row>
    <row r="117">
      <c r="A117" s="9" t="n">
        <v>116</v>
      </c>
      <c r="B117" s="9" t="inlineStr">
        <is>
          <t>Streak</t>
        </is>
      </c>
      <c r="C117" s="9" t="inlineStr">
        <is>
          <t>Pro+</t>
        </is>
      </c>
      <c r="D117" s="9" t="n">
        <v>69</v>
      </c>
      <c r="E117" s="9" t="n">
        <v/>
      </c>
      <c r="F117" s="9" t="inlineStr">
        <is>
          <t>per-seat</t>
        </is>
      </c>
    </row>
    <row r="118">
      <c r="A118" s="9" t="n">
        <v>117</v>
      </c>
      <c r="B118" s="9" t="inlineStr">
        <is>
          <t>Streak</t>
        </is>
      </c>
      <c r="C118" s="9" t="inlineStr">
        <is>
          <t>Enterprise</t>
        </is>
      </c>
      <c r="D118" s="9" t="n">
        <v>129</v>
      </c>
      <c r="E118" s="9" t="n">
        <v/>
      </c>
      <c r="F118" s="9" t="inlineStr">
        <is>
          <t>per-seat</t>
        </is>
      </c>
    </row>
    <row r="119">
      <c r="A119" s="9" t="n">
        <v>118</v>
      </c>
      <c r="B119" s="9" t="inlineStr">
        <is>
          <t>Nutshell</t>
        </is>
      </c>
      <c r="C119" s="9" t="inlineStr">
        <is>
          <t>Foundation</t>
        </is>
      </c>
      <c r="D119" s="9" t="n">
        <v>19</v>
      </c>
      <c r="E119" s="9" t="n">
        <v/>
      </c>
      <c r="F119" s="9" t="inlineStr">
        <is>
          <t>per-seat</t>
        </is>
      </c>
    </row>
    <row r="120">
      <c r="A120" s="9" t="n">
        <v>119</v>
      </c>
      <c r="B120" s="9" t="inlineStr">
        <is>
          <t>Nutshell</t>
        </is>
      </c>
      <c r="C120" s="9" t="inlineStr">
        <is>
          <t>Growth</t>
        </is>
      </c>
      <c r="D120" s="9" t="n">
        <v>32</v>
      </c>
      <c r="E120" s="9" t="n">
        <v/>
      </c>
      <c r="F120" s="9" t="inlineStr">
        <is>
          <t>per-seat</t>
        </is>
      </c>
    </row>
    <row r="121">
      <c r="A121" s="9" t="n">
        <v>120</v>
      </c>
      <c r="B121" s="9" t="inlineStr">
        <is>
          <t>Nutshell</t>
        </is>
      </c>
      <c r="C121" s="9" t="inlineStr">
        <is>
          <t>Pro</t>
        </is>
      </c>
      <c r="D121" s="9" t="n">
        <v>49</v>
      </c>
      <c r="E121" s="9" t="n">
        <v/>
      </c>
      <c r="F121" s="9" t="inlineStr">
        <is>
          <t>per-seat</t>
        </is>
      </c>
    </row>
    <row r="122">
      <c r="A122" s="9" t="n">
        <v>121</v>
      </c>
      <c r="B122" s="9" t="inlineStr">
        <is>
          <t>Nutshell</t>
        </is>
      </c>
      <c r="C122" s="9" t="inlineStr">
        <is>
          <t>Business</t>
        </is>
      </c>
      <c r="D122" s="9" t="n">
        <v>67</v>
      </c>
      <c r="E122" s="9" t="n">
        <v/>
      </c>
      <c r="F122" s="9" t="inlineStr">
        <is>
          <t>per-seat</t>
        </is>
      </c>
    </row>
    <row r="123">
      <c r="A123" s="9" t="n">
        <v>122</v>
      </c>
      <c r="B123" s="9" t="inlineStr">
        <is>
          <t>Nutshell</t>
        </is>
      </c>
      <c r="C123" s="9" t="inlineStr">
        <is>
          <t>Enterprise</t>
        </is>
      </c>
      <c r="D123" s="9" t="n">
        <v>89</v>
      </c>
      <c r="E123" s="9" t="n">
        <v/>
      </c>
      <c r="F123" s="9" t="inlineStr">
        <is>
          <t>per-seat</t>
        </is>
      </c>
    </row>
    <row r="124">
      <c r="A124" s="9" t="n">
        <v>123</v>
      </c>
      <c r="B124" s="9" t="inlineStr">
        <is>
          <t>Less Annoying CRM</t>
        </is>
      </c>
      <c r="C124" s="9" t="inlineStr">
        <is>
          <t>Standard</t>
        </is>
      </c>
      <c r="D124" s="9" t="n">
        <v>15</v>
      </c>
      <c r="E124" s="9" t="n">
        <v/>
      </c>
      <c r="F124" s="9" t="inlineStr">
        <is>
          <t>per-seat</t>
        </is>
      </c>
    </row>
    <row r="125">
      <c r="A125" s="9" t="n">
        <v>124</v>
      </c>
      <c r="B125" s="9" t="inlineStr">
        <is>
          <t>monday CRM</t>
        </is>
      </c>
      <c r="C125" s="9" t="inlineStr">
        <is>
          <t>Basic</t>
        </is>
      </c>
      <c r="D125" s="9" t="n">
        <v>12</v>
      </c>
      <c r="E125" s="9" t="n">
        <v/>
      </c>
      <c r="F125" s="9" t="inlineStr">
        <is>
          <t>per-seat</t>
        </is>
      </c>
    </row>
    <row r="126">
      <c r="A126" s="9" t="n">
        <v>125</v>
      </c>
      <c r="B126" s="9" t="inlineStr">
        <is>
          <t>monday CRM</t>
        </is>
      </c>
      <c r="C126" s="9" t="inlineStr">
        <is>
          <t>Standard</t>
        </is>
      </c>
      <c r="D126" s="9" t="n">
        <v>17</v>
      </c>
      <c r="E126" s="9" t="n">
        <v/>
      </c>
      <c r="F126" s="9" t="inlineStr">
        <is>
          <t>per-seat</t>
        </is>
      </c>
    </row>
    <row r="127">
      <c r="A127" s="9" t="n">
        <v>126</v>
      </c>
      <c r="B127" s="9" t="inlineStr">
        <is>
          <t>monday CRM</t>
        </is>
      </c>
      <c r="C127" s="9" t="inlineStr">
        <is>
          <t>Pro</t>
        </is>
      </c>
      <c r="D127" s="9" t="n">
        <v>28</v>
      </c>
      <c r="E127" s="9" t="n">
        <v/>
      </c>
      <c r="F127" s="9" t="inlineStr">
        <is>
          <t>per-seat</t>
        </is>
      </c>
    </row>
    <row r="128">
      <c r="A128" s="9" t="n">
        <v>127</v>
      </c>
      <c r="B128" s="9" t="inlineStr">
        <is>
          <t>monday CRM</t>
        </is>
      </c>
      <c r="C128" s="9" t="inlineStr">
        <is>
          <t>Enterprise</t>
        </is>
      </c>
      <c r="D128" s="9" t="n">
        <v/>
      </c>
      <c r="E128" s="9" t="n">
        <v/>
      </c>
      <c r="F128" s="9" t="inlineStr">
        <is>
          <t>per-seat</t>
        </is>
      </c>
    </row>
    <row r="129">
      <c r="A129" s="9" t="n">
        <v>128</v>
      </c>
      <c r="B129" s="9" t="inlineStr">
        <is>
          <t>Folk</t>
        </is>
      </c>
      <c r="C129" s="9" t="inlineStr">
        <is>
          <t>Standard</t>
        </is>
      </c>
      <c r="D129" s="9" t="n">
        <v>24</v>
      </c>
      <c r="E129" s="9" t="n">
        <v/>
      </c>
      <c r="F129" s="9" t="inlineStr">
        <is>
          <t>per-seat</t>
        </is>
      </c>
    </row>
    <row r="130">
      <c r="A130" s="9" t="n">
        <v>129</v>
      </c>
      <c r="B130" s="9" t="inlineStr">
        <is>
          <t>Folk</t>
        </is>
      </c>
      <c r="C130" s="9" t="inlineStr">
        <is>
          <t>Premium</t>
        </is>
      </c>
      <c r="D130" s="9" t="n">
        <v>48</v>
      </c>
      <c r="E130" s="9" t="n">
        <v/>
      </c>
      <c r="F130" s="9" t="inlineStr">
        <is>
          <t>per-seat</t>
        </is>
      </c>
    </row>
    <row r="131">
      <c r="A131" s="9" t="n">
        <v>130</v>
      </c>
      <c r="B131" s="9" t="inlineStr">
        <is>
          <t>Folk</t>
        </is>
      </c>
      <c r="C131" s="9" t="inlineStr">
        <is>
          <t>Custom</t>
        </is>
      </c>
      <c r="D131" s="9" t="n">
        <v/>
      </c>
      <c r="E131" s="9" t="n">
        <v/>
      </c>
      <c r="F131" s="9" t="inlineStr">
        <is>
          <t>flat</t>
        </is>
      </c>
    </row>
    <row r="132">
      <c r="A132" s="9" t="n">
        <v>131</v>
      </c>
      <c r="B132" s="9" t="inlineStr">
        <is>
          <t>Capsule CRM</t>
        </is>
      </c>
      <c r="C132" s="9" t="inlineStr">
        <is>
          <t>Free</t>
        </is>
      </c>
      <c r="D132" s="9" t="n">
        <v>0</v>
      </c>
      <c r="E132" s="9" t="n">
        <v/>
      </c>
      <c r="F132" s="9" t="inlineStr">
        <is>
          <t>flat</t>
        </is>
      </c>
    </row>
    <row r="133">
      <c r="A133" s="9" t="n">
        <v>132</v>
      </c>
      <c r="B133" s="9" t="inlineStr">
        <is>
          <t>Capsule CRM</t>
        </is>
      </c>
      <c r="C133" s="9" t="inlineStr">
        <is>
          <t>Starter</t>
        </is>
      </c>
      <c r="D133" s="9" t="n">
        <v>21</v>
      </c>
      <c r="E133" s="9" t="n">
        <v/>
      </c>
      <c r="F133" s="9" t="inlineStr">
        <is>
          <t>per-seat</t>
        </is>
      </c>
    </row>
    <row r="134">
      <c r="A134" s="9" t="n">
        <v>133</v>
      </c>
      <c r="B134" s="9" t="inlineStr">
        <is>
          <t>Capsule CRM</t>
        </is>
      </c>
      <c r="C134" s="9" t="inlineStr">
        <is>
          <t>Growth</t>
        </is>
      </c>
      <c r="D134" s="9" t="n">
        <v>38</v>
      </c>
      <c r="E134" s="9" t="n">
        <v/>
      </c>
      <c r="F134" s="9" t="inlineStr">
        <is>
          <t>per-seat</t>
        </is>
      </c>
    </row>
    <row r="135">
      <c r="A135" s="9" t="n">
        <v>134</v>
      </c>
      <c r="B135" s="9" t="inlineStr">
        <is>
          <t>Capsule CRM</t>
        </is>
      </c>
      <c r="C135" s="9" t="inlineStr">
        <is>
          <t>Advanced</t>
        </is>
      </c>
      <c r="D135" s="9" t="n">
        <v>60</v>
      </c>
      <c r="E135" s="9" t="n">
        <v/>
      </c>
      <c r="F135" s="9" t="inlineStr">
        <is>
          <t>per-seat</t>
        </is>
      </c>
    </row>
    <row r="136">
      <c r="A136" s="9" t="n">
        <v>135</v>
      </c>
      <c r="B136" s="9" t="inlineStr">
        <is>
          <t>Capsule CRM</t>
        </is>
      </c>
      <c r="C136" s="9" t="inlineStr">
        <is>
          <t>Ultimate</t>
        </is>
      </c>
      <c r="D136" s="9" t="n">
        <v>75</v>
      </c>
      <c r="E136" s="9" t="n">
        <v/>
      </c>
      <c r="F136" s="9" t="inlineStr">
        <is>
          <t>per-seat</t>
        </is>
      </c>
    </row>
    <row r="137">
      <c r="A137" s="9" t="n">
        <v>136</v>
      </c>
      <c r="B137" s="9" t="inlineStr">
        <is>
          <t>Attio</t>
        </is>
      </c>
      <c r="C137" s="9" t="inlineStr">
        <is>
          <t>Free</t>
        </is>
      </c>
      <c r="D137" s="9" t="n">
        <v>0</v>
      </c>
      <c r="E137" s="9" t="n">
        <v/>
      </c>
      <c r="F137" s="9" t="inlineStr">
        <is>
          <t>flat</t>
        </is>
      </c>
    </row>
    <row r="138">
      <c r="A138" s="9" t="n">
        <v>137</v>
      </c>
      <c r="B138" s="9" t="inlineStr">
        <is>
          <t>Attio</t>
        </is>
      </c>
      <c r="C138" s="9" t="inlineStr">
        <is>
          <t>Plus</t>
        </is>
      </c>
      <c r="D138" s="9" t="n">
        <v>34</v>
      </c>
      <c r="E138" s="9" t="n">
        <v/>
      </c>
      <c r="F138" s="9" t="inlineStr">
        <is>
          <t>per-seat</t>
        </is>
      </c>
    </row>
    <row r="139">
      <c r="A139" s="9" t="n">
        <v>138</v>
      </c>
      <c r="B139" s="9" t="inlineStr">
        <is>
          <t>Attio</t>
        </is>
      </c>
      <c r="C139" s="9" t="inlineStr">
        <is>
          <t>Pro</t>
        </is>
      </c>
      <c r="D139" s="9" t="n">
        <v>69</v>
      </c>
      <c r="E139" s="9" t="n">
        <v/>
      </c>
      <c r="F139" s="9" t="inlineStr">
        <is>
          <t>per-seat</t>
        </is>
      </c>
    </row>
    <row r="140">
      <c r="A140" s="9" t="n">
        <v>139</v>
      </c>
      <c r="B140" s="9" t="inlineStr">
        <is>
          <t>Attio</t>
        </is>
      </c>
      <c r="C140" s="9" t="inlineStr">
        <is>
          <t>Enterprise</t>
        </is>
      </c>
      <c r="D140" s="9" t="n">
        <v/>
      </c>
      <c r="E140" s="9" t="n">
        <v/>
      </c>
      <c r="F140" s="9" t="inlineStr">
        <is>
          <t>per-seat</t>
        </is>
      </c>
    </row>
    <row r="141">
      <c r="A141" s="9" t="n">
        <v>140</v>
      </c>
      <c r="B141" s="9" t="inlineStr">
        <is>
          <t>Mailchimp</t>
        </is>
      </c>
      <c r="C141" s="9" t="inlineStr">
        <is>
          <t>Free</t>
        </is>
      </c>
      <c r="D141" s="9" t="n">
        <v>0</v>
      </c>
      <c r="E141" s="9" t="n">
        <v/>
      </c>
      <c r="F141" s="9" t="inlineStr">
        <is>
          <t>flat</t>
        </is>
      </c>
    </row>
    <row r="142">
      <c r="A142" s="9" t="n">
        <v>141</v>
      </c>
      <c r="B142" s="9" t="inlineStr">
        <is>
          <t>Mailchimp</t>
        </is>
      </c>
      <c r="C142" s="9" t="inlineStr">
        <is>
          <t>Essentials</t>
        </is>
      </c>
      <c r="D142" s="9" t="n">
        <v>13</v>
      </c>
      <c r="E142" s="9" t="n">
        <v/>
      </c>
      <c r="F142" s="9" t="inlineStr">
        <is>
          <t>flat</t>
        </is>
      </c>
    </row>
    <row r="143">
      <c r="A143" s="9" t="n">
        <v>142</v>
      </c>
      <c r="B143" s="9" t="inlineStr">
        <is>
          <t>Mailchimp</t>
        </is>
      </c>
      <c r="C143" s="9" t="inlineStr">
        <is>
          <t>Standard</t>
        </is>
      </c>
      <c r="D143" s="9" t="n">
        <v>20</v>
      </c>
      <c r="E143" s="9" t="n">
        <v/>
      </c>
      <c r="F143" s="9" t="inlineStr">
        <is>
          <t>flat</t>
        </is>
      </c>
    </row>
    <row r="144">
      <c r="A144" s="9" t="n">
        <v>143</v>
      </c>
      <c r="B144" s="9" t="inlineStr">
        <is>
          <t>Mailchimp</t>
        </is>
      </c>
      <c r="C144" s="9" t="inlineStr">
        <is>
          <t>Premium</t>
        </is>
      </c>
      <c r="D144" s="9" t="n">
        <v>350</v>
      </c>
      <c r="E144" s="9" t="n">
        <v/>
      </c>
      <c r="F144" s="9" t="inlineStr">
        <is>
          <t>flat</t>
        </is>
      </c>
    </row>
    <row r="145">
      <c r="A145" s="9" t="n">
        <v>144</v>
      </c>
      <c r="B145" s="9" t="inlineStr">
        <is>
          <t>Kit (ConvertKit)</t>
        </is>
      </c>
      <c r="C145" s="9" t="inlineStr">
        <is>
          <t>Newsletter</t>
        </is>
      </c>
      <c r="D145" s="9" t="n">
        <v>0</v>
      </c>
      <c r="E145" s="9" t="n">
        <v/>
      </c>
      <c r="F145" s="9" t="inlineStr">
        <is>
          <t>flat</t>
        </is>
      </c>
    </row>
    <row r="146">
      <c r="A146" s="9" t="n">
        <v>145</v>
      </c>
      <c r="B146" s="9" t="inlineStr">
        <is>
          <t>Kit (ConvertKit)</t>
        </is>
      </c>
      <c r="C146" s="9" t="inlineStr">
        <is>
          <t>Creator</t>
        </is>
      </c>
      <c r="D146" s="9" t="n">
        <v>33</v>
      </c>
      <c r="E146" s="9" t="n">
        <v/>
      </c>
      <c r="F146" s="9" t="inlineStr">
        <is>
          <t>flat</t>
        </is>
      </c>
    </row>
    <row r="147">
      <c r="A147" s="9" t="n">
        <v>146</v>
      </c>
      <c r="B147" s="9" t="inlineStr">
        <is>
          <t>Kit (ConvertKit)</t>
        </is>
      </c>
      <c r="C147" s="9" t="inlineStr">
        <is>
          <t>Pro</t>
        </is>
      </c>
      <c r="D147" s="9" t="n">
        <v>66</v>
      </c>
      <c r="E147" s="9" t="n">
        <v/>
      </c>
      <c r="F147" s="9" t="inlineStr">
        <is>
          <t>flat</t>
        </is>
      </c>
    </row>
    <row r="148">
      <c r="A148" s="9" t="n">
        <v>147</v>
      </c>
      <c r="B148" s="9" t="inlineStr">
        <is>
          <t>ActiveCampaign</t>
        </is>
      </c>
      <c r="C148" s="9" t="inlineStr">
        <is>
          <t>Starter</t>
        </is>
      </c>
      <c r="D148" s="9" t="n">
        <v>15</v>
      </c>
      <c r="E148" s="9" t="n">
        <v/>
      </c>
      <c r="F148" s="9" t="inlineStr">
        <is>
          <t>flat</t>
        </is>
      </c>
    </row>
    <row r="149">
      <c r="A149" s="9" t="n">
        <v>148</v>
      </c>
      <c r="B149" s="9" t="inlineStr">
        <is>
          <t>ActiveCampaign</t>
        </is>
      </c>
      <c r="C149" s="9" t="inlineStr">
        <is>
          <t>Plus</t>
        </is>
      </c>
      <c r="D149" s="9" t="n">
        <v>49</v>
      </c>
      <c r="E149" s="9" t="n">
        <v/>
      </c>
      <c r="F149" s="9" t="inlineStr">
        <is>
          <t>flat</t>
        </is>
      </c>
    </row>
    <row r="150">
      <c r="A150" s="9" t="n">
        <v>149</v>
      </c>
      <c r="B150" s="9" t="inlineStr">
        <is>
          <t>ActiveCampaign</t>
        </is>
      </c>
      <c r="C150" s="9" t="inlineStr">
        <is>
          <t>Pro</t>
        </is>
      </c>
      <c r="D150" s="9" t="n">
        <v>79</v>
      </c>
      <c r="E150" s="9" t="n">
        <v/>
      </c>
      <c r="F150" s="9" t="inlineStr">
        <is>
          <t>flat</t>
        </is>
      </c>
    </row>
    <row r="151">
      <c r="A151" s="9" t="n">
        <v>150</v>
      </c>
      <c r="B151" s="9" t="inlineStr">
        <is>
          <t>ActiveCampaign</t>
        </is>
      </c>
      <c r="C151" s="9" t="inlineStr">
        <is>
          <t>Enterprise</t>
        </is>
      </c>
      <c r="D151" s="9" t="n">
        <v>145</v>
      </c>
      <c r="E151" s="9" t="n">
        <v/>
      </c>
      <c r="F151" s="9" t="inlineStr">
        <is>
          <t>flat</t>
        </is>
      </c>
    </row>
    <row r="152">
      <c r="A152" s="9" t="n">
        <v>151</v>
      </c>
      <c r="B152" s="9" t="inlineStr">
        <is>
          <t>Brevo (Sendinblue)</t>
        </is>
      </c>
      <c r="C152" s="9" t="inlineStr">
        <is>
          <t>Starter</t>
        </is>
      </c>
      <c r="D152" s="9" t="n">
        <v>9</v>
      </c>
      <c r="E152" s="9" t="n">
        <v/>
      </c>
      <c r="F152" s="9" t="inlineStr">
        <is>
          <t>flat</t>
        </is>
      </c>
    </row>
    <row r="153">
      <c r="A153" s="9" t="n">
        <v>152</v>
      </c>
      <c r="B153" s="9" t="inlineStr">
        <is>
          <t>Brevo (Sendinblue)</t>
        </is>
      </c>
      <c r="C153" s="9" t="inlineStr">
        <is>
          <t>Standard</t>
        </is>
      </c>
      <c r="D153" s="9" t="n">
        <v>18</v>
      </c>
      <c r="E153" s="9" t="n">
        <v/>
      </c>
      <c r="F153" s="9" t="inlineStr">
        <is>
          <t>flat</t>
        </is>
      </c>
    </row>
    <row r="154">
      <c r="A154" s="9" t="n">
        <v>153</v>
      </c>
      <c r="B154" s="9" t="inlineStr">
        <is>
          <t>Brevo (Sendinblue)</t>
        </is>
      </c>
      <c r="C154" s="9" t="inlineStr">
        <is>
          <t>Professional</t>
        </is>
      </c>
      <c r="D154" s="9" t="n">
        <v>49</v>
      </c>
      <c r="E154" s="9" t="n">
        <v/>
      </c>
      <c r="F154" s="9" t="inlineStr">
        <is>
          <t>flat</t>
        </is>
      </c>
    </row>
    <row r="155">
      <c r="A155" s="9" t="n">
        <v>154</v>
      </c>
      <c r="B155" s="9" t="inlineStr">
        <is>
          <t>Brevo (Sendinblue)</t>
        </is>
      </c>
      <c r="C155" s="9" t="inlineStr">
        <is>
          <t>Enterprise</t>
        </is>
      </c>
      <c r="D155" s="9" t="n">
        <v/>
      </c>
      <c r="E155" s="9" t="n">
        <v/>
      </c>
      <c r="F155" s="9" t="inlineStr">
        <is>
          <t>flat</t>
        </is>
      </c>
    </row>
    <row r="156">
      <c r="A156" s="9" t="n">
        <v>155</v>
      </c>
      <c r="B156" s="9" t="inlineStr">
        <is>
          <t>Klaviyo</t>
        </is>
      </c>
      <c r="C156" s="9" t="inlineStr">
        <is>
          <t>Free</t>
        </is>
      </c>
      <c r="D156" s="9" t="n">
        <v>0</v>
      </c>
      <c r="E156" s="9" t="n">
        <v/>
      </c>
      <c r="F156" s="9" t="inlineStr">
        <is>
          <t>flat</t>
        </is>
      </c>
    </row>
    <row r="157">
      <c r="A157" s="9" t="n">
        <v>156</v>
      </c>
      <c r="B157" s="9" t="inlineStr">
        <is>
          <t>Klaviyo</t>
        </is>
      </c>
      <c r="C157" s="9" t="inlineStr">
        <is>
          <t>Email</t>
        </is>
      </c>
      <c r="D157" s="9" t="n">
        <v>20</v>
      </c>
      <c r="E157" s="9" t="n">
        <v/>
      </c>
      <c r="F157" s="9" t="inlineStr">
        <is>
          <t>flat</t>
        </is>
      </c>
    </row>
    <row r="158">
      <c r="A158" s="9" t="n">
        <v>157</v>
      </c>
      <c r="B158" s="9" t="inlineStr">
        <is>
          <t>Klaviyo</t>
        </is>
      </c>
      <c r="C158" s="9" t="inlineStr">
        <is>
          <t>Email &amp; SMS</t>
        </is>
      </c>
      <c r="D158" s="9" t="n">
        <v>35</v>
      </c>
      <c r="E158" s="9" t="n">
        <v/>
      </c>
      <c r="F158" s="9" t="inlineStr">
        <is>
          <t>flat</t>
        </is>
      </c>
    </row>
    <row r="159">
      <c r="A159" s="9" t="n">
        <v>158</v>
      </c>
      <c r="B159" s="9" t="inlineStr">
        <is>
          <t>Drip</t>
        </is>
      </c>
      <c r="C159" s="9" t="inlineStr">
        <is>
          <t>Email</t>
        </is>
      </c>
      <c r="D159" s="9" t="n">
        <v>39</v>
      </c>
      <c r="E159" s="9" t="n">
        <v/>
      </c>
      <c r="F159" s="9" t="inlineStr">
        <is>
          <t>flat</t>
        </is>
      </c>
    </row>
    <row r="160">
      <c r="A160" s="9" t="n">
        <v>159</v>
      </c>
      <c r="B160" s="9" t="inlineStr">
        <is>
          <t>AWeber</t>
        </is>
      </c>
      <c r="C160" s="9" t="inlineStr">
        <is>
          <t>Free</t>
        </is>
      </c>
      <c r="D160" s="9" t="n">
        <v>0</v>
      </c>
      <c r="E160" s="9" t="n">
        <v/>
      </c>
      <c r="F160" s="9" t="inlineStr">
        <is>
          <t>flat</t>
        </is>
      </c>
    </row>
    <row r="161">
      <c r="A161" s="9" t="n">
        <v>160</v>
      </c>
      <c r="B161" s="9" t="inlineStr">
        <is>
          <t>AWeber</t>
        </is>
      </c>
      <c r="C161" s="9" t="inlineStr">
        <is>
          <t>Lite</t>
        </is>
      </c>
      <c r="D161" s="9" t="n">
        <v>14.99</v>
      </c>
      <c r="E161" s="9" t="n">
        <v/>
      </c>
      <c r="F161" s="9" t="inlineStr">
        <is>
          <t>flat</t>
        </is>
      </c>
    </row>
    <row r="162">
      <c r="A162" s="9" t="n">
        <v>161</v>
      </c>
      <c r="B162" s="9" t="inlineStr">
        <is>
          <t>AWeber</t>
        </is>
      </c>
      <c r="C162" s="9" t="inlineStr">
        <is>
          <t>Plus</t>
        </is>
      </c>
      <c r="D162" s="9" t="n">
        <v>29.99</v>
      </c>
      <c r="E162" s="9" t="n">
        <v/>
      </c>
      <c r="F162" s="9" t="inlineStr">
        <is>
          <t>flat</t>
        </is>
      </c>
    </row>
    <row r="163">
      <c r="A163" s="9" t="n">
        <v>162</v>
      </c>
      <c r="B163" s="9" t="inlineStr">
        <is>
          <t>AWeber</t>
        </is>
      </c>
      <c r="C163" s="9" t="inlineStr">
        <is>
          <t>Unlimited</t>
        </is>
      </c>
      <c r="D163" s="9" t="n">
        <v>899</v>
      </c>
      <c r="E163" s="9" t="n">
        <v/>
      </c>
      <c r="F163" s="9" t="inlineStr">
        <is>
          <t>flat</t>
        </is>
      </c>
    </row>
    <row r="164">
      <c r="A164" s="9" t="n">
        <v>163</v>
      </c>
      <c r="B164" s="9" t="inlineStr">
        <is>
          <t>GetResponse</t>
        </is>
      </c>
      <c r="C164" s="9" t="inlineStr">
        <is>
          <t>Free</t>
        </is>
      </c>
      <c r="D164" s="9" t="n">
        <v>0</v>
      </c>
      <c r="E164" s="9" t="n">
        <v/>
      </c>
      <c r="F164" s="9" t="inlineStr">
        <is>
          <t>flat</t>
        </is>
      </c>
    </row>
    <row r="165">
      <c r="A165" s="9" t="n">
        <v>164</v>
      </c>
      <c r="B165" s="9" t="inlineStr">
        <is>
          <t>GetResponse</t>
        </is>
      </c>
      <c r="C165" s="9" t="inlineStr">
        <is>
          <t>Email Marketing</t>
        </is>
      </c>
      <c r="D165" s="9" t="n">
        <v>19</v>
      </c>
      <c r="E165" s="9" t="n">
        <v/>
      </c>
      <c r="F165" s="9" t="inlineStr">
        <is>
          <t>flat</t>
        </is>
      </c>
    </row>
    <row r="166">
      <c r="A166" s="9" t="n">
        <v>165</v>
      </c>
      <c r="B166" s="9" t="inlineStr">
        <is>
          <t>GetResponse</t>
        </is>
      </c>
      <c r="C166" s="9" t="inlineStr">
        <is>
          <t>Marketing Automation</t>
        </is>
      </c>
      <c r="D166" s="9" t="n">
        <v>59</v>
      </c>
      <c r="E166" s="9" t="n">
        <v/>
      </c>
      <c r="F166" s="9" t="inlineStr">
        <is>
          <t>flat</t>
        </is>
      </c>
    </row>
    <row r="167">
      <c r="A167" s="9" t="n">
        <v>166</v>
      </c>
      <c r="B167" s="9" t="inlineStr">
        <is>
          <t>GetResponse</t>
        </is>
      </c>
      <c r="C167" s="9" t="inlineStr">
        <is>
          <t>Ecommerce Marketing</t>
        </is>
      </c>
      <c r="D167" s="9" t="n">
        <v>119</v>
      </c>
      <c r="E167" s="9" t="n">
        <v/>
      </c>
      <c r="F167" s="9" t="inlineStr">
        <is>
          <t>flat</t>
        </is>
      </c>
    </row>
    <row r="168">
      <c r="A168" s="9" t="n">
        <v>167</v>
      </c>
      <c r="B168" s="9" t="inlineStr">
        <is>
          <t>GetResponse</t>
        </is>
      </c>
      <c r="C168" s="9" t="inlineStr">
        <is>
          <t>GetResponse MAX</t>
        </is>
      </c>
      <c r="D168" s="9" t="n">
        <v/>
      </c>
      <c r="E168" s="9" t="n">
        <v/>
      </c>
      <c r="F168" s="9" t="inlineStr">
        <is>
          <t>flat</t>
        </is>
      </c>
    </row>
    <row r="169">
      <c r="A169" s="9" t="n">
        <v>168</v>
      </c>
      <c r="B169" s="9" t="inlineStr">
        <is>
          <t>Constant Contact</t>
        </is>
      </c>
      <c r="C169" s="9" t="inlineStr">
        <is>
          <t>Lite</t>
        </is>
      </c>
      <c r="D169" s="9" t="n">
        <v>12</v>
      </c>
      <c r="E169" s="9" t="n">
        <v/>
      </c>
      <c r="F169" s="9" t="inlineStr">
        <is>
          <t>flat</t>
        </is>
      </c>
    </row>
    <row r="170">
      <c r="A170" s="9" t="n">
        <v>169</v>
      </c>
      <c r="B170" s="9" t="inlineStr">
        <is>
          <t>Constant Contact</t>
        </is>
      </c>
      <c r="C170" s="9" t="inlineStr">
        <is>
          <t>Standard</t>
        </is>
      </c>
      <c r="D170" s="9" t="n">
        <v>35</v>
      </c>
      <c r="E170" s="9" t="n">
        <v/>
      </c>
      <c r="F170" s="9" t="inlineStr">
        <is>
          <t>flat</t>
        </is>
      </c>
    </row>
    <row r="171">
      <c r="A171" s="9" t="n">
        <v>170</v>
      </c>
      <c r="B171" s="9" t="inlineStr">
        <is>
          <t>Constant Contact</t>
        </is>
      </c>
      <c r="C171" s="9" t="inlineStr">
        <is>
          <t>Premium</t>
        </is>
      </c>
      <c r="D171" s="9" t="n">
        <v>80</v>
      </c>
      <c r="E171" s="9" t="n">
        <v/>
      </c>
      <c r="F171" s="9" t="inlineStr">
        <is>
          <t>flat</t>
        </is>
      </c>
    </row>
    <row r="172">
      <c r="A172" s="9" t="n">
        <v>171</v>
      </c>
      <c r="B172" s="9" t="inlineStr">
        <is>
          <t>MailerLite</t>
        </is>
      </c>
      <c r="C172" s="9" t="inlineStr">
        <is>
          <t>Free</t>
        </is>
      </c>
      <c r="D172" s="9" t="n">
        <v>0</v>
      </c>
      <c r="E172" s="9" t="n">
        <v/>
      </c>
      <c r="F172" s="9" t="inlineStr">
        <is>
          <t>flat</t>
        </is>
      </c>
    </row>
    <row r="173">
      <c r="A173" s="9" t="n">
        <v>172</v>
      </c>
      <c r="B173" s="9" t="inlineStr">
        <is>
          <t>MailerLite</t>
        </is>
      </c>
      <c r="C173" s="9" t="inlineStr">
        <is>
          <t>Growing Business</t>
        </is>
      </c>
      <c r="D173" s="9" t="n">
        <v>10</v>
      </c>
      <c r="E173" s="9" t="n">
        <v/>
      </c>
      <c r="F173" s="9" t="inlineStr">
        <is>
          <t>flat</t>
        </is>
      </c>
    </row>
    <row r="174">
      <c r="A174" s="9" t="n">
        <v>173</v>
      </c>
      <c r="B174" s="9" t="inlineStr">
        <is>
          <t>MailerLite</t>
        </is>
      </c>
      <c r="C174" s="9" t="inlineStr">
        <is>
          <t>Advanced</t>
        </is>
      </c>
      <c r="D174" s="9" t="n">
        <v>20</v>
      </c>
      <c r="E174" s="9" t="n">
        <v/>
      </c>
      <c r="F174" s="9" t="inlineStr">
        <is>
          <t>flat</t>
        </is>
      </c>
    </row>
    <row r="175">
      <c r="A175" s="9" t="n">
        <v>174</v>
      </c>
      <c r="B175" s="9" t="inlineStr">
        <is>
          <t>MailerLite</t>
        </is>
      </c>
      <c r="C175" s="9" t="inlineStr">
        <is>
          <t>Enterprise</t>
        </is>
      </c>
      <c r="D175" s="9" t="n">
        <v/>
      </c>
      <c r="E175" s="9" t="n">
        <v/>
      </c>
      <c r="F175" s="9" t="inlineStr">
        <is>
          <t>flat</t>
        </is>
      </c>
    </row>
    <row r="176">
      <c r="A176" s="9" t="n">
        <v>175</v>
      </c>
      <c r="B176" s="9" t="inlineStr">
        <is>
          <t>beehiiv</t>
        </is>
      </c>
      <c r="C176" s="9" t="inlineStr">
        <is>
          <t>Launch</t>
        </is>
      </c>
      <c r="D176" s="9" t="n">
        <v>0</v>
      </c>
      <c r="E176" s="9" t="n">
        <v/>
      </c>
      <c r="F176" s="9" t="inlineStr">
        <is>
          <t>flat</t>
        </is>
      </c>
    </row>
    <row r="177">
      <c r="A177" s="9" t="n">
        <v>176</v>
      </c>
      <c r="B177" s="9" t="inlineStr">
        <is>
          <t>beehiiv</t>
        </is>
      </c>
      <c r="C177" s="9" t="inlineStr">
        <is>
          <t>Scale</t>
        </is>
      </c>
      <c r="D177" s="9" t="n">
        <v>43</v>
      </c>
      <c r="E177" s="9" t="n">
        <v/>
      </c>
      <c r="F177" s="9" t="inlineStr">
        <is>
          <t>flat</t>
        </is>
      </c>
    </row>
    <row r="178">
      <c r="A178" s="9" t="n">
        <v>177</v>
      </c>
      <c r="B178" s="9" t="inlineStr">
        <is>
          <t>beehiiv</t>
        </is>
      </c>
      <c r="C178" s="9" t="inlineStr">
        <is>
          <t>Max</t>
        </is>
      </c>
      <c r="D178" s="9" t="n">
        <v>96</v>
      </c>
      <c r="E178" s="9" t="n">
        <v/>
      </c>
      <c r="F178" s="9" t="inlineStr">
        <is>
          <t>flat</t>
        </is>
      </c>
    </row>
    <row r="179">
      <c r="A179" s="9" t="n">
        <v>178</v>
      </c>
      <c r="B179" s="9" t="inlineStr">
        <is>
          <t>beehiiv</t>
        </is>
      </c>
      <c r="C179" s="9" t="inlineStr">
        <is>
          <t>Enterprise</t>
        </is>
      </c>
      <c r="D179" s="9" t="n">
        <v/>
      </c>
      <c r="E179" s="9" t="n">
        <v/>
      </c>
      <c r="F179" s="9" t="inlineStr">
        <is>
          <t>flat</t>
        </is>
      </c>
    </row>
    <row r="180">
      <c r="A180" s="9" t="n">
        <v>179</v>
      </c>
      <c r="B180" s="9" t="inlineStr">
        <is>
          <t>Omnisend</t>
        </is>
      </c>
      <c r="C180" s="9" t="inlineStr">
        <is>
          <t>Free</t>
        </is>
      </c>
      <c r="D180" s="9" t="n">
        <v>0</v>
      </c>
      <c r="E180" s="9" t="n">
        <v/>
      </c>
      <c r="F180" s="9" t="inlineStr">
        <is>
          <t>flat</t>
        </is>
      </c>
    </row>
    <row r="181">
      <c r="A181" s="9" t="n">
        <v>180</v>
      </c>
      <c r="B181" s="9" t="inlineStr">
        <is>
          <t>Omnisend</t>
        </is>
      </c>
      <c r="C181" s="9" t="inlineStr">
        <is>
          <t>Standard</t>
        </is>
      </c>
      <c r="D181" s="9" t="n">
        <v>16</v>
      </c>
      <c r="E181" s="9" t="n">
        <v/>
      </c>
      <c r="F181" s="9" t="inlineStr">
        <is>
          <t>flat</t>
        </is>
      </c>
    </row>
    <row r="182">
      <c r="A182" s="9" t="n">
        <v>181</v>
      </c>
      <c r="B182" s="9" t="inlineStr">
        <is>
          <t>Omnisend</t>
        </is>
      </c>
      <c r="C182" s="9" t="inlineStr">
        <is>
          <t>Pro</t>
        </is>
      </c>
      <c r="D182" s="9" t="n">
        <v>59</v>
      </c>
      <c r="E182" s="9" t="n">
        <v/>
      </c>
      <c r="F182" s="9" t="inlineStr">
        <is>
          <t>flat</t>
        </is>
      </c>
    </row>
    <row r="183">
      <c r="A183" s="9" t="n">
        <v>182</v>
      </c>
      <c r="B183" s="9" t="inlineStr">
        <is>
          <t>Moosend</t>
        </is>
      </c>
      <c r="C183" s="9" t="inlineStr">
        <is>
          <t>Pro</t>
        </is>
      </c>
      <c r="D183" s="9" t="n">
        <v>9</v>
      </c>
      <c r="E183" s="9" t="n">
        <v/>
      </c>
      <c r="F183" s="9" t="inlineStr">
        <is>
          <t>flat</t>
        </is>
      </c>
    </row>
    <row r="184">
      <c r="A184" s="9" t="n">
        <v>183</v>
      </c>
      <c r="B184" s="9" t="inlineStr">
        <is>
          <t>Moosend</t>
        </is>
      </c>
      <c r="C184" s="9" t="inlineStr">
        <is>
          <t>Enterprise</t>
        </is>
      </c>
      <c r="D184" s="9" t="n">
        <v/>
      </c>
      <c r="E184" s="9" t="n">
        <v/>
      </c>
      <c r="F184" s="9" t="inlineStr">
        <is>
          <t>flat</t>
        </is>
      </c>
    </row>
    <row r="185">
      <c r="A185" s="9" t="n">
        <v>184</v>
      </c>
      <c r="B185" s="9" t="inlineStr">
        <is>
          <t>Campaign Monitor</t>
        </is>
      </c>
      <c r="C185" s="9" t="inlineStr">
        <is>
          <t>Lite</t>
        </is>
      </c>
      <c r="D185" s="9" t="n">
        <v>12</v>
      </c>
      <c r="E185" s="9" t="n">
        <v/>
      </c>
      <c r="F185" s="9" t="inlineStr">
        <is>
          <t>flat</t>
        </is>
      </c>
    </row>
    <row r="186">
      <c r="A186" s="9" t="n">
        <v>185</v>
      </c>
      <c r="B186" s="9" t="inlineStr">
        <is>
          <t>Campaign Monitor</t>
        </is>
      </c>
      <c r="C186" s="9" t="inlineStr">
        <is>
          <t>Essentials</t>
        </is>
      </c>
      <c r="D186" s="9" t="n">
        <v>29</v>
      </c>
      <c r="E186" s="9" t="n">
        <v/>
      </c>
      <c r="F186" s="9" t="inlineStr">
        <is>
          <t>flat</t>
        </is>
      </c>
    </row>
    <row r="187">
      <c r="A187" s="9" t="n">
        <v>186</v>
      </c>
      <c r="B187" s="9" t="inlineStr">
        <is>
          <t>Campaign Monitor</t>
        </is>
      </c>
      <c r="C187" s="9" t="inlineStr">
        <is>
          <t>Premier</t>
        </is>
      </c>
      <c r="D187" s="9" t="n">
        <v>159</v>
      </c>
      <c r="E187" s="9" t="n">
        <v/>
      </c>
      <c r="F187" s="9" t="inlineStr">
        <is>
          <t>flat</t>
        </is>
      </c>
    </row>
    <row r="188">
      <c r="A188" s="9" t="n">
        <v>187</v>
      </c>
      <c r="B188" s="9" t="inlineStr">
        <is>
          <t>Sender</t>
        </is>
      </c>
      <c r="C188" s="9" t="inlineStr">
        <is>
          <t>Free</t>
        </is>
      </c>
      <c r="D188" s="9" t="n">
        <v>0</v>
      </c>
      <c r="E188" s="9" t="n">
        <v/>
      </c>
      <c r="F188" s="9" t="inlineStr">
        <is>
          <t>flat</t>
        </is>
      </c>
    </row>
    <row r="189">
      <c r="A189" s="9" t="n">
        <v>188</v>
      </c>
      <c r="B189" s="9" t="inlineStr">
        <is>
          <t>Sender</t>
        </is>
      </c>
      <c r="C189" s="9" t="inlineStr">
        <is>
          <t>Standard</t>
        </is>
      </c>
      <c r="D189" s="9" t="n">
        <v>10</v>
      </c>
      <c r="E189" s="9" t="n">
        <v/>
      </c>
      <c r="F189" s="9" t="inlineStr">
        <is>
          <t>flat</t>
        </is>
      </c>
    </row>
    <row r="190">
      <c r="A190" s="9" t="n">
        <v>189</v>
      </c>
      <c r="B190" s="9" t="inlineStr">
        <is>
          <t>Sender</t>
        </is>
      </c>
      <c r="C190" s="9" t="inlineStr">
        <is>
          <t>Professional</t>
        </is>
      </c>
      <c r="D190" s="9" t="n">
        <v>35</v>
      </c>
      <c r="E190" s="9" t="n">
        <v/>
      </c>
      <c r="F190" s="9" t="inlineStr">
        <is>
          <t>flat</t>
        </is>
      </c>
    </row>
    <row r="191">
      <c r="A191" s="9" t="n">
        <v>190</v>
      </c>
      <c r="B191" s="9" t="inlineStr">
        <is>
          <t>Sender</t>
        </is>
      </c>
      <c r="C191" s="9" t="inlineStr">
        <is>
          <t>Enterprise</t>
        </is>
      </c>
      <c r="D191" s="9" t="n">
        <v/>
      </c>
      <c r="E191" s="9" t="n">
        <v/>
      </c>
      <c r="F191" s="9" t="inlineStr">
        <is>
          <t>flat</t>
        </is>
      </c>
    </row>
    <row r="192">
      <c r="A192" s="9" t="n">
        <v>191</v>
      </c>
      <c r="B192" s="9" t="inlineStr">
        <is>
          <t>Flodesk</t>
        </is>
      </c>
      <c r="C192" s="9" t="inlineStr">
        <is>
          <t>Free</t>
        </is>
      </c>
      <c r="D192" s="9" t="n">
        <v>0</v>
      </c>
      <c r="E192" s="9" t="n">
        <v/>
      </c>
      <c r="F192" s="9" t="inlineStr">
        <is>
          <t>flat</t>
        </is>
      </c>
    </row>
    <row r="193">
      <c r="A193" s="9" t="n">
        <v>192</v>
      </c>
      <c r="B193" s="9" t="inlineStr">
        <is>
          <t>Flodesk</t>
        </is>
      </c>
      <c r="C193" s="9" t="inlineStr">
        <is>
          <t>Lite</t>
        </is>
      </c>
      <c r="D193" s="9" t="n">
        <v>25</v>
      </c>
      <c r="E193" s="9" t="n">
        <v/>
      </c>
      <c r="F193" s="9" t="inlineStr">
        <is>
          <t>flat</t>
        </is>
      </c>
    </row>
    <row r="194">
      <c r="A194" s="9" t="n">
        <v>193</v>
      </c>
      <c r="B194" s="9" t="inlineStr">
        <is>
          <t>Flodesk</t>
        </is>
      </c>
      <c r="C194" s="9" t="inlineStr">
        <is>
          <t>Pro</t>
        </is>
      </c>
      <c r="D194" s="9" t="n">
        <v>49</v>
      </c>
      <c r="E194" s="9" t="n">
        <v/>
      </c>
      <c r="F194" s="9" t="inlineStr">
        <is>
          <t>flat</t>
        </is>
      </c>
    </row>
    <row r="195">
      <c r="A195" s="9" t="n">
        <v>194</v>
      </c>
      <c r="B195" s="9" t="inlineStr">
        <is>
          <t>Flodesk</t>
        </is>
      </c>
      <c r="C195" s="9" t="inlineStr">
        <is>
          <t>Everything</t>
        </is>
      </c>
      <c r="D195" s="9" t="n">
        <v>64</v>
      </c>
      <c r="E195" s="9" t="n">
        <v/>
      </c>
      <c r="F195" s="9" t="inlineStr">
        <is>
          <t>flat</t>
        </is>
      </c>
    </row>
    <row r="196">
      <c r="A196" s="9" t="n">
        <v>195</v>
      </c>
      <c r="B196" s="9" t="inlineStr">
        <is>
          <t>Buttondown</t>
        </is>
      </c>
      <c r="C196" s="9" t="inlineStr">
        <is>
          <t>Free</t>
        </is>
      </c>
      <c r="D196" s="9" t="n">
        <v>0</v>
      </c>
      <c r="E196" s="9" t="n">
        <v/>
      </c>
      <c r="F196" s="9" t="inlineStr">
        <is>
          <t>flat</t>
        </is>
      </c>
    </row>
    <row r="197">
      <c r="A197" s="9" t="n">
        <v>196</v>
      </c>
      <c r="B197" s="9" t="inlineStr">
        <is>
          <t>Buttondown</t>
        </is>
      </c>
      <c r="C197" s="9" t="inlineStr">
        <is>
          <t>Basic</t>
        </is>
      </c>
      <c r="D197" s="9" t="n">
        <v>9</v>
      </c>
      <c r="E197" s="9" t="n">
        <v/>
      </c>
      <c r="F197" s="9" t="inlineStr">
        <is>
          <t>flat</t>
        </is>
      </c>
    </row>
    <row r="198">
      <c r="A198" s="9" t="n">
        <v>197</v>
      </c>
      <c r="B198" s="9" t="inlineStr">
        <is>
          <t>Buttondown</t>
        </is>
      </c>
      <c r="C198" s="9" t="inlineStr">
        <is>
          <t>Standard</t>
        </is>
      </c>
      <c r="D198" s="9" t="n">
        <v>29</v>
      </c>
      <c r="E198" s="9" t="n">
        <v/>
      </c>
      <c r="F198" s="9" t="inlineStr">
        <is>
          <t>flat</t>
        </is>
      </c>
    </row>
    <row r="199">
      <c r="A199" s="9" t="n">
        <v>198</v>
      </c>
      <c r="B199" s="9" t="inlineStr">
        <is>
          <t>Buttondown</t>
        </is>
      </c>
      <c r="C199" s="9" t="inlineStr">
        <is>
          <t>Professional</t>
        </is>
      </c>
      <c r="D199" s="9" t="n">
        <v>79</v>
      </c>
      <c r="E199" s="9" t="n">
        <v/>
      </c>
      <c r="F199" s="9" t="inlineStr">
        <is>
          <t>flat</t>
        </is>
      </c>
    </row>
    <row r="200">
      <c r="A200" s="9" t="n">
        <v>199</v>
      </c>
      <c r="B200" s="9" t="inlineStr">
        <is>
          <t>Loops</t>
        </is>
      </c>
      <c r="C200" s="9" t="inlineStr">
        <is>
          <t>Free</t>
        </is>
      </c>
      <c r="D200" s="9" t="n">
        <v>0</v>
      </c>
      <c r="E200" s="9" t="n">
        <v/>
      </c>
      <c r="F200" s="9" t="inlineStr">
        <is>
          <t>flat</t>
        </is>
      </c>
    </row>
    <row r="201">
      <c r="A201" s="9" t="n">
        <v>200</v>
      </c>
      <c r="B201" s="9" t="inlineStr">
        <is>
          <t>Loops</t>
        </is>
      </c>
      <c r="C201" s="9" t="inlineStr">
        <is>
          <t>Starter</t>
        </is>
      </c>
      <c r="D201" s="9" t="n">
        <v>49</v>
      </c>
      <c r="E201" s="9" t="n">
        <v/>
      </c>
      <c r="F201" s="9" t="inlineStr">
        <is>
          <t>flat</t>
        </is>
      </c>
    </row>
    <row r="202">
      <c r="A202" s="9" t="n">
        <v>201</v>
      </c>
      <c r="B202" s="9" t="inlineStr">
        <is>
          <t>Loops</t>
        </is>
      </c>
      <c r="C202" s="9" t="inlineStr">
        <is>
          <t>Growth</t>
        </is>
      </c>
      <c r="D202" s="9" t="n">
        <v>149</v>
      </c>
      <c r="E202" s="9" t="n">
        <v/>
      </c>
      <c r="F202" s="9" t="inlineStr">
        <is>
          <t>flat</t>
        </is>
      </c>
    </row>
    <row r="203">
      <c r="A203" s="9" t="n">
        <v>202</v>
      </c>
      <c r="B203" s="9" t="inlineStr">
        <is>
          <t>Loops</t>
        </is>
      </c>
      <c r="C203" s="9" t="inlineStr">
        <is>
          <t>Pro</t>
        </is>
      </c>
      <c r="D203" s="9" t="n">
        <v>599</v>
      </c>
      <c r="E203" s="9" t="n">
        <v/>
      </c>
      <c r="F203" s="9" t="inlineStr">
        <is>
          <t>flat</t>
        </is>
      </c>
    </row>
    <row r="204">
      <c r="A204" s="9" t="n">
        <v>203</v>
      </c>
      <c r="B204" s="9" t="inlineStr">
        <is>
          <t>WordPress.com</t>
        </is>
      </c>
      <c r="C204" s="9" t="inlineStr">
        <is>
          <t>Free</t>
        </is>
      </c>
      <c r="D204" s="9" t="n">
        <v>0</v>
      </c>
      <c r="E204" s="9" t="n">
        <v/>
      </c>
      <c r="F204" s="9" t="inlineStr">
        <is>
          <t>flat</t>
        </is>
      </c>
    </row>
    <row r="205">
      <c r="A205" s="9" t="n">
        <v>204</v>
      </c>
      <c r="B205" s="9" t="inlineStr">
        <is>
          <t>WordPress.com</t>
        </is>
      </c>
      <c r="C205" s="9" t="inlineStr">
        <is>
          <t>Starter</t>
        </is>
      </c>
      <c r="D205" s="9" t="n">
        <v>4</v>
      </c>
      <c r="E205" s="9" t="n">
        <v/>
      </c>
      <c r="F205" s="9" t="inlineStr">
        <is>
          <t>flat</t>
        </is>
      </c>
    </row>
    <row r="206">
      <c r="A206" s="9" t="n">
        <v>205</v>
      </c>
      <c r="B206" s="9" t="inlineStr">
        <is>
          <t>WordPress.com</t>
        </is>
      </c>
      <c r="C206" s="9" t="inlineStr">
        <is>
          <t>Explorer</t>
        </is>
      </c>
      <c r="D206" s="9" t="n">
        <v>8</v>
      </c>
      <c r="E206" s="9" t="n">
        <v/>
      </c>
      <c r="F206" s="9" t="inlineStr">
        <is>
          <t>flat</t>
        </is>
      </c>
    </row>
    <row r="207">
      <c r="A207" s="9" t="n">
        <v>206</v>
      </c>
      <c r="B207" s="9" t="inlineStr">
        <is>
          <t>WordPress.com</t>
        </is>
      </c>
      <c r="C207" s="9" t="inlineStr">
        <is>
          <t>Creator</t>
        </is>
      </c>
      <c r="D207" s="9" t="n">
        <v>25</v>
      </c>
      <c r="E207" s="9" t="n">
        <v/>
      </c>
      <c r="F207" s="9" t="inlineStr">
        <is>
          <t>flat</t>
        </is>
      </c>
    </row>
    <row r="208">
      <c r="A208" s="9" t="n">
        <v>207</v>
      </c>
      <c r="B208" s="9" t="inlineStr">
        <is>
          <t>WordPress.com</t>
        </is>
      </c>
      <c r="C208" s="9" t="inlineStr">
        <is>
          <t>Entrepreneur</t>
        </is>
      </c>
      <c r="D208" s="9" t="n">
        <v>45</v>
      </c>
      <c r="E208" s="9" t="n">
        <v/>
      </c>
      <c r="F208" s="9" t="inlineStr">
        <is>
          <t>flat</t>
        </is>
      </c>
    </row>
    <row r="209">
      <c r="A209" s="9" t="n">
        <v>208</v>
      </c>
      <c r="B209" s="9" t="inlineStr">
        <is>
          <t>Wix</t>
        </is>
      </c>
      <c r="C209" s="9" t="inlineStr">
        <is>
          <t>Free</t>
        </is>
      </c>
      <c r="D209" s="9" t="n">
        <v>0</v>
      </c>
      <c r="E209" s="9" t="n">
        <v/>
      </c>
      <c r="F209" s="9" t="inlineStr">
        <is>
          <t>flat</t>
        </is>
      </c>
    </row>
    <row r="210">
      <c r="A210" s="9" t="n">
        <v>209</v>
      </c>
      <c r="B210" s="9" t="inlineStr">
        <is>
          <t>Wix</t>
        </is>
      </c>
      <c r="C210" s="9" t="inlineStr">
        <is>
          <t>Light</t>
        </is>
      </c>
      <c r="D210" s="9" t="n">
        <v>17</v>
      </c>
      <c r="E210" s="9" t="n">
        <v/>
      </c>
      <c r="F210" s="9" t="inlineStr">
        <is>
          <t>flat</t>
        </is>
      </c>
    </row>
    <row r="211">
      <c r="A211" s="9" t="n">
        <v>210</v>
      </c>
      <c r="B211" s="9" t="inlineStr">
        <is>
          <t>Wix</t>
        </is>
      </c>
      <c r="C211" s="9" t="inlineStr">
        <is>
          <t>Core</t>
        </is>
      </c>
      <c r="D211" s="9" t="n">
        <v>29</v>
      </c>
      <c r="E211" s="9" t="n">
        <v/>
      </c>
      <c r="F211" s="9" t="inlineStr">
        <is>
          <t>flat</t>
        </is>
      </c>
    </row>
    <row r="212">
      <c r="A212" s="9" t="n">
        <v>211</v>
      </c>
      <c r="B212" s="9" t="inlineStr">
        <is>
          <t>Wix</t>
        </is>
      </c>
      <c r="C212" s="9" t="inlineStr">
        <is>
          <t>Business</t>
        </is>
      </c>
      <c r="D212" s="9" t="n">
        <v>36</v>
      </c>
      <c r="E212" s="9" t="n">
        <v/>
      </c>
      <c r="F212" s="9" t="inlineStr">
        <is>
          <t>flat</t>
        </is>
      </c>
    </row>
    <row r="213">
      <c r="A213" s="9" t="n">
        <v>212</v>
      </c>
      <c r="B213" s="9" t="inlineStr">
        <is>
          <t>Wix</t>
        </is>
      </c>
      <c r="C213" s="9" t="inlineStr">
        <is>
          <t>Business Elite</t>
        </is>
      </c>
      <c r="D213" s="9" t="n">
        <v>159</v>
      </c>
      <c r="E213" s="9" t="n">
        <v/>
      </c>
      <c r="F213" s="9" t="inlineStr">
        <is>
          <t>flat</t>
        </is>
      </c>
    </row>
    <row r="214">
      <c r="A214" s="9" t="n">
        <v>213</v>
      </c>
      <c r="B214" s="9" t="inlineStr">
        <is>
          <t>Squarespace</t>
        </is>
      </c>
      <c r="C214" s="9" t="inlineStr">
        <is>
          <t>Personal</t>
        </is>
      </c>
      <c r="D214" s="9" t="n">
        <v>16</v>
      </c>
      <c r="E214" s="9" t="n">
        <v/>
      </c>
      <c r="F214" s="9" t="inlineStr">
        <is>
          <t>flat</t>
        </is>
      </c>
    </row>
    <row r="215">
      <c r="A215" s="9" t="n">
        <v>214</v>
      </c>
      <c r="B215" s="9" t="inlineStr">
        <is>
          <t>Squarespace</t>
        </is>
      </c>
      <c r="C215" s="9" t="inlineStr">
        <is>
          <t>Business</t>
        </is>
      </c>
      <c r="D215" s="9" t="n">
        <v>33</v>
      </c>
      <c r="E215" s="9" t="n">
        <v/>
      </c>
      <c r="F215" s="9" t="inlineStr">
        <is>
          <t>flat</t>
        </is>
      </c>
    </row>
    <row r="216">
      <c r="A216" s="9" t="n">
        <v>215</v>
      </c>
      <c r="B216" s="9" t="inlineStr">
        <is>
          <t>Squarespace</t>
        </is>
      </c>
      <c r="C216" s="9" t="inlineStr">
        <is>
          <t>Commerce Basic</t>
        </is>
      </c>
      <c r="D216" s="9" t="n">
        <v>36</v>
      </c>
      <c r="E216" s="9" t="n">
        <v/>
      </c>
      <c r="F216" s="9" t="inlineStr">
        <is>
          <t>flat</t>
        </is>
      </c>
    </row>
    <row r="217">
      <c r="A217" s="9" t="n">
        <v>216</v>
      </c>
      <c r="B217" s="9" t="inlineStr">
        <is>
          <t>Squarespace</t>
        </is>
      </c>
      <c r="C217" s="9" t="inlineStr">
        <is>
          <t>Commerce Advanced</t>
        </is>
      </c>
      <c r="D217" s="9" t="n">
        <v>65</v>
      </c>
      <c r="E217" s="9" t="n">
        <v/>
      </c>
      <c r="F217" s="9" t="inlineStr">
        <is>
          <t>flat</t>
        </is>
      </c>
    </row>
    <row r="218">
      <c r="A218" s="9" t="n">
        <v>217</v>
      </c>
      <c r="B218" s="9" t="inlineStr">
        <is>
          <t>Webflow</t>
        </is>
      </c>
      <c r="C218" s="9" t="inlineStr">
        <is>
          <t>Starter</t>
        </is>
      </c>
      <c r="D218" s="9" t="n">
        <v>0</v>
      </c>
      <c r="E218" s="9" t="n">
        <v/>
      </c>
      <c r="F218" s="9" t="inlineStr">
        <is>
          <t>flat</t>
        </is>
      </c>
    </row>
    <row r="219">
      <c r="A219" s="9" t="n">
        <v>218</v>
      </c>
      <c r="B219" s="9" t="inlineStr">
        <is>
          <t>Webflow</t>
        </is>
      </c>
      <c r="C219" s="9" t="inlineStr">
        <is>
          <t>Basic</t>
        </is>
      </c>
      <c r="D219" s="9" t="n">
        <v>14</v>
      </c>
      <c r="E219" s="9" t="n">
        <v>168</v>
      </c>
      <c r="F219" s="9" t="inlineStr">
        <is>
          <t>flat</t>
        </is>
      </c>
    </row>
    <row r="220">
      <c r="A220" s="9" t="n">
        <v>219</v>
      </c>
      <c r="B220" s="9" t="inlineStr">
        <is>
          <t>Webflow</t>
        </is>
      </c>
      <c r="C220" s="9" t="inlineStr">
        <is>
          <t>CMS</t>
        </is>
      </c>
      <c r="D220" s="9" t="n">
        <v>23</v>
      </c>
      <c r="E220" s="9" t="n">
        <v>276</v>
      </c>
      <c r="F220" s="9" t="inlineStr">
        <is>
          <t>flat</t>
        </is>
      </c>
    </row>
    <row r="221">
      <c r="A221" s="9" t="n">
        <v>220</v>
      </c>
      <c r="B221" s="9" t="inlineStr">
        <is>
          <t>Webflow</t>
        </is>
      </c>
      <c r="C221" s="9" t="inlineStr">
        <is>
          <t>Business</t>
        </is>
      </c>
      <c r="D221" s="9" t="n">
        <v>39</v>
      </c>
      <c r="E221" s="9" t="n">
        <v>468</v>
      </c>
      <c r="F221" s="9" t="inlineStr">
        <is>
          <t>flat</t>
        </is>
      </c>
    </row>
    <row r="222">
      <c r="A222" s="9" t="n">
        <v>221</v>
      </c>
      <c r="B222" s="9" t="inlineStr">
        <is>
          <t>Webflow</t>
        </is>
      </c>
      <c r="C222" s="9" t="inlineStr">
        <is>
          <t>Enterprise</t>
        </is>
      </c>
      <c r="D222" s="9" t="n">
        <v/>
      </c>
      <c r="E222" s="9" t="n">
        <v/>
      </c>
      <c r="F222" s="9" t="inlineStr">
        <is>
          <t>flat</t>
        </is>
      </c>
    </row>
    <row r="223">
      <c r="A223" s="9" t="n">
        <v>222</v>
      </c>
      <c r="B223" s="9" t="inlineStr">
        <is>
          <t>Framer</t>
        </is>
      </c>
      <c r="C223" s="9" t="inlineStr">
        <is>
          <t>Free</t>
        </is>
      </c>
      <c r="D223" s="9" t="n">
        <v>0</v>
      </c>
      <c r="E223" s="9" t="n">
        <v/>
      </c>
      <c r="F223" s="9" t="inlineStr">
        <is>
          <t>flat</t>
        </is>
      </c>
    </row>
    <row r="224">
      <c r="A224" s="9" t="n">
        <v>223</v>
      </c>
      <c r="B224" s="9" t="inlineStr">
        <is>
          <t>Framer</t>
        </is>
      </c>
      <c r="C224" s="9" t="inlineStr">
        <is>
          <t>Mini</t>
        </is>
      </c>
      <c r="D224" s="9" t="n">
        <v>5</v>
      </c>
      <c r="E224" s="9" t="n">
        <v/>
      </c>
      <c r="F224" s="9" t="inlineStr">
        <is>
          <t>flat</t>
        </is>
      </c>
    </row>
    <row r="225">
      <c r="A225" s="9" t="n">
        <v>224</v>
      </c>
      <c r="B225" s="9" t="inlineStr">
        <is>
          <t>Framer</t>
        </is>
      </c>
      <c r="C225" s="9" t="inlineStr">
        <is>
          <t>Basic</t>
        </is>
      </c>
      <c r="D225" s="9" t="n">
        <v>15</v>
      </c>
      <c r="E225" s="9" t="n">
        <v/>
      </c>
      <c r="F225" s="9" t="inlineStr">
        <is>
          <t>flat</t>
        </is>
      </c>
    </row>
    <row r="226">
      <c r="A226" s="9" t="n">
        <v>225</v>
      </c>
      <c r="B226" s="9" t="inlineStr">
        <is>
          <t>Framer</t>
        </is>
      </c>
      <c r="C226" s="9" t="inlineStr">
        <is>
          <t>Pro</t>
        </is>
      </c>
      <c r="D226" s="9" t="n">
        <v>30</v>
      </c>
      <c r="E226" s="9" t="n">
        <v/>
      </c>
      <c r="F226" s="9" t="inlineStr">
        <is>
          <t>flat</t>
        </is>
      </c>
    </row>
    <row r="227">
      <c r="A227" s="9" t="n">
        <v>226</v>
      </c>
      <c r="B227" s="9" t="inlineStr">
        <is>
          <t>Framer</t>
        </is>
      </c>
      <c r="C227" s="9" t="inlineStr">
        <is>
          <t>Enterprise</t>
        </is>
      </c>
      <c r="D227" s="9" t="n">
        <v/>
      </c>
      <c r="E227" s="9" t="n">
        <v/>
      </c>
      <c r="F227" s="9" t="inlineStr">
        <is>
          <t>flat</t>
        </is>
      </c>
    </row>
    <row r="228">
      <c r="A228" s="9" t="n">
        <v>227</v>
      </c>
      <c r="B228" s="9" t="inlineStr">
        <is>
          <t>Carrd</t>
        </is>
      </c>
      <c r="C228" s="9" t="inlineStr">
        <is>
          <t>Free</t>
        </is>
      </c>
      <c r="D228" s="9" t="n">
        <v>0</v>
      </c>
      <c r="E228" s="9" t="n">
        <v/>
      </c>
      <c r="F228" s="9" t="inlineStr">
        <is>
          <t>flat</t>
        </is>
      </c>
    </row>
    <row r="229">
      <c r="A229" s="9" t="n">
        <v>228</v>
      </c>
      <c r="B229" s="9" t="inlineStr">
        <is>
          <t>Carrd</t>
        </is>
      </c>
      <c r="C229" s="9" t="inlineStr">
        <is>
          <t>Pro Lite</t>
        </is>
      </c>
      <c r="D229" s="9" t="n">
        <v>9</v>
      </c>
      <c r="E229" s="9" t="n">
        <v>108</v>
      </c>
      <c r="F229" s="9" t="inlineStr">
        <is>
          <t>flat</t>
        </is>
      </c>
    </row>
    <row r="230">
      <c r="A230" s="9" t="n">
        <v>229</v>
      </c>
      <c r="B230" s="9" t="inlineStr">
        <is>
          <t>Carrd</t>
        </is>
      </c>
      <c r="C230" s="9" t="inlineStr">
        <is>
          <t>Pro Standard</t>
        </is>
      </c>
      <c r="D230" s="9" t="n">
        <v>19</v>
      </c>
      <c r="E230" s="9" t="n">
        <v>228</v>
      </c>
      <c r="F230" s="9" t="inlineStr">
        <is>
          <t>flat</t>
        </is>
      </c>
    </row>
    <row r="231">
      <c r="A231" s="9" t="n">
        <v>230</v>
      </c>
      <c r="B231" s="9" t="inlineStr">
        <is>
          <t>Carrd</t>
        </is>
      </c>
      <c r="C231" s="9" t="inlineStr">
        <is>
          <t>Pro Plus</t>
        </is>
      </c>
      <c r="D231" s="9" t="n">
        <v>49</v>
      </c>
      <c r="E231" s="9" t="n">
        <v>588</v>
      </c>
      <c r="F231" s="9" t="inlineStr">
        <is>
          <t>flat</t>
        </is>
      </c>
    </row>
    <row r="232">
      <c r="A232" s="9" t="n">
        <v>231</v>
      </c>
      <c r="B232" s="9" t="inlineStr">
        <is>
          <t>Ghost</t>
        </is>
      </c>
      <c r="C232" s="9" t="inlineStr">
        <is>
          <t>Starter</t>
        </is>
      </c>
      <c r="D232" s="9" t="n">
        <v>15</v>
      </c>
      <c r="E232" s="9" t="n">
        <v>180</v>
      </c>
      <c r="F232" s="9" t="inlineStr">
        <is>
          <t>flat</t>
        </is>
      </c>
    </row>
    <row r="233">
      <c r="A233" s="9" t="n">
        <v>232</v>
      </c>
      <c r="B233" s="9" t="inlineStr">
        <is>
          <t>Ghost</t>
        </is>
      </c>
      <c r="C233" s="9" t="inlineStr">
        <is>
          <t>Publisher</t>
        </is>
      </c>
      <c r="D233" s="9" t="n">
        <v>29</v>
      </c>
      <c r="E233" s="9" t="n">
        <v>348</v>
      </c>
      <c r="F233" s="9" t="inlineStr">
        <is>
          <t>flat</t>
        </is>
      </c>
    </row>
    <row r="234">
      <c r="A234" s="9" t="n">
        <v>233</v>
      </c>
      <c r="B234" s="9" t="inlineStr">
        <is>
          <t>Ghost</t>
        </is>
      </c>
      <c r="C234" s="9" t="inlineStr">
        <is>
          <t>Business</t>
        </is>
      </c>
      <c r="D234" s="9" t="n">
        <v>199</v>
      </c>
      <c r="E234" s="9" t="n">
        <v>2388</v>
      </c>
      <c r="F234" s="9" t="inlineStr">
        <is>
          <t>flat</t>
        </is>
      </c>
    </row>
    <row r="235">
      <c r="A235" s="9" t="n">
        <v>234</v>
      </c>
      <c r="B235" s="9" t="inlineStr">
        <is>
          <t>Ghost</t>
        </is>
      </c>
      <c r="C235" s="9" t="inlineStr">
        <is>
          <t>Custom</t>
        </is>
      </c>
      <c r="D235" s="9" t="n">
        <v/>
      </c>
      <c r="E235" s="9" t="n">
        <v/>
      </c>
      <c r="F235" s="9" t="inlineStr">
        <is>
          <t>flat</t>
        </is>
      </c>
    </row>
    <row r="236">
      <c r="A236" s="9" t="n">
        <v>235</v>
      </c>
      <c r="B236" s="9" t="inlineStr">
        <is>
          <t>Shopify</t>
        </is>
      </c>
      <c r="C236" s="9" t="inlineStr">
        <is>
          <t>Basic</t>
        </is>
      </c>
      <c r="D236" s="9" t="n">
        <v>39</v>
      </c>
      <c r="E236" s="9" t="n">
        <v/>
      </c>
      <c r="F236" s="9" t="inlineStr">
        <is>
          <t>flat</t>
        </is>
      </c>
    </row>
    <row r="237">
      <c r="A237" s="9" t="n">
        <v>236</v>
      </c>
      <c r="B237" s="9" t="inlineStr">
        <is>
          <t>Shopify</t>
        </is>
      </c>
      <c r="C237" s="9" t="inlineStr">
        <is>
          <t>Shopify</t>
        </is>
      </c>
      <c r="D237" s="9" t="n">
        <v>105</v>
      </c>
      <c r="E237" s="9" t="n">
        <v/>
      </c>
      <c r="F237" s="9" t="inlineStr">
        <is>
          <t>flat</t>
        </is>
      </c>
    </row>
    <row r="238">
      <c r="A238" s="9" t="n">
        <v>237</v>
      </c>
      <c r="B238" s="9" t="inlineStr">
        <is>
          <t>Shopify</t>
        </is>
      </c>
      <c r="C238" s="9" t="inlineStr">
        <is>
          <t>Advanced</t>
        </is>
      </c>
      <c r="D238" s="9" t="n">
        <v>399</v>
      </c>
      <c r="E238" s="9" t="n">
        <v/>
      </c>
      <c r="F238" s="9" t="inlineStr">
        <is>
          <t>flat</t>
        </is>
      </c>
    </row>
    <row r="239">
      <c r="A239" s="9" t="n">
        <v>238</v>
      </c>
      <c r="B239" s="9" t="inlineStr">
        <is>
          <t>Shopify</t>
        </is>
      </c>
      <c r="C239" s="9" t="inlineStr">
        <is>
          <t>Plus</t>
        </is>
      </c>
      <c r="D239" s="9" t="n">
        <v>2300</v>
      </c>
      <c r="E239" s="9" t="n">
        <v/>
      </c>
      <c r="F239" s="9" t="inlineStr">
        <is>
          <t>flat</t>
        </is>
      </c>
    </row>
    <row r="240">
      <c r="A240" s="9" t="n">
        <v>239</v>
      </c>
      <c r="B240" s="9" t="inlineStr">
        <is>
          <t>Weebly</t>
        </is>
      </c>
      <c r="C240" s="9" t="inlineStr">
        <is>
          <t>Free</t>
        </is>
      </c>
      <c r="D240" s="9" t="n">
        <v>0</v>
      </c>
      <c r="E240" s="9" t="n">
        <v/>
      </c>
      <c r="F240" s="9" t="inlineStr">
        <is>
          <t>flat</t>
        </is>
      </c>
    </row>
    <row r="241">
      <c r="A241" s="9" t="n">
        <v>240</v>
      </c>
      <c r="B241" s="9" t="inlineStr">
        <is>
          <t>Weebly</t>
        </is>
      </c>
      <c r="C241" s="9" t="inlineStr">
        <is>
          <t>Personal</t>
        </is>
      </c>
      <c r="D241" s="9" t="n">
        <v>13</v>
      </c>
      <c r="E241" s="9" t="n">
        <v/>
      </c>
      <c r="F241" s="9" t="inlineStr">
        <is>
          <t>flat</t>
        </is>
      </c>
    </row>
    <row r="242">
      <c r="A242" s="9" t="n">
        <v>241</v>
      </c>
      <c r="B242" s="9" t="inlineStr">
        <is>
          <t>Weebly</t>
        </is>
      </c>
      <c r="C242" s="9" t="inlineStr">
        <is>
          <t>Professional</t>
        </is>
      </c>
      <c r="D242" s="9" t="n">
        <v>16</v>
      </c>
      <c r="E242" s="9" t="n">
        <v/>
      </c>
      <c r="F242" s="9" t="inlineStr">
        <is>
          <t>flat</t>
        </is>
      </c>
    </row>
    <row r="243">
      <c r="A243" s="9" t="n">
        <v>242</v>
      </c>
      <c r="B243" s="9" t="inlineStr">
        <is>
          <t>Weebly</t>
        </is>
      </c>
      <c r="C243" s="9" t="inlineStr">
        <is>
          <t>Performance</t>
        </is>
      </c>
      <c r="D243" s="9" t="n">
        <v>29</v>
      </c>
      <c r="E243" s="9" t="n">
        <v/>
      </c>
      <c r="F243" s="9" t="inlineStr">
        <is>
          <t>flat</t>
        </is>
      </c>
    </row>
    <row r="244">
      <c r="A244" s="9" t="n">
        <v>243</v>
      </c>
      <c r="B244" s="9" t="inlineStr">
        <is>
          <t>Duda</t>
        </is>
      </c>
      <c r="C244" s="9" t="inlineStr">
        <is>
          <t>Basic</t>
        </is>
      </c>
      <c r="D244" s="9" t="n">
        <v>25</v>
      </c>
      <c r="E244" s="9" t="n">
        <v/>
      </c>
      <c r="F244" s="9" t="inlineStr">
        <is>
          <t>flat</t>
        </is>
      </c>
    </row>
    <row r="245">
      <c r="A245" s="9" t="n">
        <v>244</v>
      </c>
      <c r="B245" s="9" t="inlineStr">
        <is>
          <t>Duda</t>
        </is>
      </c>
      <c r="C245" s="9" t="inlineStr">
        <is>
          <t>Team</t>
        </is>
      </c>
      <c r="D245" s="9" t="n">
        <v>39</v>
      </c>
      <c r="E245" s="9" t="n">
        <v/>
      </c>
      <c r="F245" s="9" t="inlineStr">
        <is>
          <t>flat</t>
        </is>
      </c>
    </row>
    <row r="246">
      <c r="A246" s="9" t="n">
        <v>245</v>
      </c>
      <c r="B246" s="9" t="inlineStr">
        <is>
          <t>Duda</t>
        </is>
      </c>
      <c r="C246" s="9" t="inlineStr">
        <is>
          <t>Agency</t>
        </is>
      </c>
      <c r="D246" s="9" t="n">
        <v>69</v>
      </c>
      <c r="E246" s="9" t="n">
        <v/>
      </c>
      <c r="F246" s="9" t="inlineStr">
        <is>
          <t>flat</t>
        </is>
      </c>
    </row>
    <row r="247">
      <c r="A247" s="9" t="n">
        <v>246</v>
      </c>
      <c r="B247" s="9" t="inlineStr">
        <is>
          <t>Duda</t>
        </is>
      </c>
      <c r="C247" s="9" t="inlineStr">
        <is>
          <t>White Label</t>
        </is>
      </c>
      <c r="D247" s="9" t="n">
        <v>199</v>
      </c>
      <c r="E247" s="9" t="n">
        <v/>
      </c>
      <c r="F247" s="9" t="inlineStr">
        <is>
          <t>flat</t>
        </is>
      </c>
    </row>
    <row r="248">
      <c r="A248" s="9" t="n">
        <v>247</v>
      </c>
      <c r="B248" s="9" t="inlineStr">
        <is>
          <t>Webnode</t>
        </is>
      </c>
      <c r="C248" s="9" t="inlineStr">
        <is>
          <t>Free</t>
        </is>
      </c>
      <c r="D248" s="9" t="n">
        <v>0</v>
      </c>
      <c r="E248" s="9" t="n">
        <v/>
      </c>
      <c r="F248" s="9" t="inlineStr">
        <is>
          <t>flat</t>
        </is>
      </c>
    </row>
    <row r="249">
      <c r="A249" s="9" t="n">
        <v>248</v>
      </c>
      <c r="B249" s="9" t="inlineStr">
        <is>
          <t>Webnode</t>
        </is>
      </c>
      <c r="C249" s="9" t="inlineStr">
        <is>
          <t>Limited</t>
        </is>
      </c>
      <c r="D249" s="9" t="n">
        <v>3.9</v>
      </c>
      <c r="E249" s="9" t="n">
        <v/>
      </c>
      <c r="F249" s="9" t="inlineStr">
        <is>
          <t>flat</t>
        </is>
      </c>
    </row>
    <row r="250">
      <c r="A250" s="9" t="n">
        <v>249</v>
      </c>
      <c r="B250" s="9" t="inlineStr">
        <is>
          <t>Webnode</t>
        </is>
      </c>
      <c r="C250" s="9" t="inlineStr">
        <is>
          <t>Mini</t>
        </is>
      </c>
      <c r="D250" s="9" t="n">
        <v>7.5</v>
      </c>
      <c r="E250" s="9" t="n">
        <v/>
      </c>
      <c r="F250" s="9" t="inlineStr">
        <is>
          <t>flat</t>
        </is>
      </c>
    </row>
    <row r="251">
      <c r="A251" s="9" t="n">
        <v>250</v>
      </c>
      <c r="B251" s="9" t="inlineStr">
        <is>
          <t>Webnode</t>
        </is>
      </c>
      <c r="C251" s="9" t="inlineStr">
        <is>
          <t>Standard</t>
        </is>
      </c>
      <c r="D251" s="9" t="n">
        <v>12.9</v>
      </c>
      <c r="E251" s="9" t="n">
        <v/>
      </c>
      <c r="F251" s="9" t="inlineStr">
        <is>
          <t>flat</t>
        </is>
      </c>
    </row>
    <row r="252">
      <c r="A252" s="9" t="n">
        <v>251</v>
      </c>
      <c r="B252" s="9" t="inlineStr">
        <is>
          <t>Webnode</t>
        </is>
      </c>
      <c r="C252" s="9" t="inlineStr">
        <is>
          <t>Profi</t>
        </is>
      </c>
      <c r="D252" s="9" t="n">
        <v>22.9</v>
      </c>
      <c r="E252" s="9" t="n">
        <v/>
      </c>
      <c r="F252" s="9" t="inlineStr">
        <is>
          <t>flat</t>
        </is>
      </c>
    </row>
    <row r="253">
      <c r="A253" s="9" t="n">
        <v>252</v>
      </c>
      <c r="B253" s="9" t="inlineStr">
        <is>
          <t>Strikingly</t>
        </is>
      </c>
      <c r="C253" s="9" t="inlineStr">
        <is>
          <t>Free</t>
        </is>
      </c>
      <c r="D253" s="9" t="n">
        <v>0</v>
      </c>
      <c r="E253" s="9" t="n">
        <v/>
      </c>
      <c r="F253" s="9" t="inlineStr">
        <is>
          <t>flat</t>
        </is>
      </c>
    </row>
    <row r="254">
      <c r="A254" s="9" t="n">
        <v>253</v>
      </c>
      <c r="B254" s="9" t="inlineStr">
        <is>
          <t>Strikingly</t>
        </is>
      </c>
      <c r="C254" s="9" t="inlineStr">
        <is>
          <t>Limited</t>
        </is>
      </c>
      <c r="D254" s="9" t="n">
        <v>12</v>
      </c>
      <c r="E254" s="9" t="n">
        <v/>
      </c>
      <c r="F254" s="9" t="inlineStr">
        <is>
          <t>flat</t>
        </is>
      </c>
    </row>
    <row r="255">
      <c r="A255" s="9" t="n">
        <v>254</v>
      </c>
      <c r="B255" s="9" t="inlineStr">
        <is>
          <t>Strikingly</t>
        </is>
      </c>
      <c r="C255" s="9" t="inlineStr">
        <is>
          <t>Pro</t>
        </is>
      </c>
      <c r="D255" s="9" t="n">
        <v>20</v>
      </c>
      <c r="E255" s="9" t="n">
        <v/>
      </c>
      <c r="F255" s="9" t="inlineStr">
        <is>
          <t>flat</t>
        </is>
      </c>
    </row>
    <row r="256">
      <c r="A256" s="9" t="n">
        <v>255</v>
      </c>
      <c r="B256" s="9" t="inlineStr">
        <is>
          <t>Strikingly</t>
        </is>
      </c>
      <c r="C256" s="9" t="inlineStr">
        <is>
          <t>VIP</t>
        </is>
      </c>
      <c r="D256" s="9" t="n">
        <v>49</v>
      </c>
      <c r="E256" s="9" t="n">
        <v/>
      </c>
      <c r="F256" s="9" t="inlineStr">
        <is>
          <t>flat</t>
        </is>
      </c>
    </row>
    <row r="257">
      <c r="A257" s="9" t="n">
        <v>256</v>
      </c>
      <c r="B257" s="9" t="inlineStr">
        <is>
          <t>10Web</t>
        </is>
      </c>
      <c r="C257" s="9" t="inlineStr">
        <is>
          <t>Personal</t>
        </is>
      </c>
      <c r="D257" s="9" t="n">
        <v>10</v>
      </c>
      <c r="E257" s="9" t="n">
        <v/>
      </c>
      <c r="F257" s="9" t="inlineStr">
        <is>
          <t>flat</t>
        </is>
      </c>
    </row>
    <row r="258">
      <c r="A258" s="9" t="n">
        <v>257</v>
      </c>
      <c r="B258" s="9" t="inlineStr">
        <is>
          <t>10Web</t>
        </is>
      </c>
      <c r="C258" s="9" t="inlineStr">
        <is>
          <t>Premium</t>
        </is>
      </c>
      <c r="D258" s="9" t="n">
        <v>24</v>
      </c>
      <c r="E258" s="9" t="n">
        <v/>
      </c>
      <c r="F258" s="9" t="inlineStr">
        <is>
          <t>flat</t>
        </is>
      </c>
    </row>
    <row r="259">
      <c r="A259" s="9" t="n">
        <v>258</v>
      </c>
      <c r="B259" s="9" t="inlineStr">
        <is>
          <t>10Web</t>
        </is>
      </c>
      <c r="C259" s="9" t="inlineStr">
        <is>
          <t>Agency</t>
        </is>
      </c>
      <c r="D259" s="9" t="n">
        <v>60</v>
      </c>
      <c r="E259" s="9" t="n">
        <v/>
      </c>
      <c r="F259" s="9" t="inlineStr">
        <is>
          <t>flat</t>
        </is>
      </c>
    </row>
    <row r="260">
      <c r="A260" s="9" t="n">
        <v>259</v>
      </c>
      <c r="B260" s="9" t="inlineStr">
        <is>
          <t>Super</t>
        </is>
      </c>
      <c r="C260" s="9" t="inlineStr">
        <is>
          <t>Free</t>
        </is>
      </c>
      <c r="D260" s="9" t="n">
        <v>0</v>
      </c>
      <c r="E260" s="9" t="n">
        <v/>
      </c>
      <c r="F260" s="9" t="inlineStr">
        <is>
          <t>flat</t>
        </is>
      </c>
    </row>
    <row r="261">
      <c r="A261" s="9" t="n">
        <v>260</v>
      </c>
      <c r="B261" s="9" t="inlineStr">
        <is>
          <t>Super</t>
        </is>
      </c>
      <c r="C261" s="9" t="inlineStr">
        <is>
          <t>Personal</t>
        </is>
      </c>
      <c r="D261" s="9" t="n">
        <v>16</v>
      </c>
      <c r="E261" s="9" t="n">
        <v/>
      </c>
      <c r="F261" s="9" t="inlineStr">
        <is>
          <t>flat</t>
        </is>
      </c>
    </row>
    <row r="262">
      <c r="A262" s="9" t="n">
        <v>261</v>
      </c>
      <c r="B262" s="9" t="inlineStr">
        <is>
          <t>Super</t>
        </is>
      </c>
      <c r="C262" s="9" t="inlineStr">
        <is>
          <t>Pro</t>
        </is>
      </c>
      <c r="D262" s="9" t="n">
        <v>28</v>
      </c>
      <c r="E262" s="9" t="n">
        <v/>
      </c>
      <c r="F262" s="9" t="inlineStr">
        <is>
          <t>flat</t>
        </is>
      </c>
    </row>
    <row r="263">
      <c r="A263" s="9" t="n">
        <v>262</v>
      </c>
      <c r="B263" s="9" t="inlineStr">
        <is>
          <t>Super</t>
        </is>
      </c>
      <c r="C263" s="9" t="inlineStr">
        <is>
          <t>Business</t>
        </is>
      </c>
      <c r="D263" s="9" t="n">
        <v>50</v>
      </c>
      <c r="E263" s="9" t="n">
        <v/>
      </c>
      <c r="F263" s="9" t="inlineStr">
        <is>
          <t>flat</t>
        </is>
      </c>
    </row>
    <row r="264">
      <c r="A264" s="9" t="n">
        <v>263</v>
      </c>
      <c r="B264" s="9" t="inlineStr">
        <is>
          <t>Typedream</t>
        </is>
      </c>
      <c r="C264" s="9" t="inlineStr">
        <is>
          <t>Free</t>
        </is>
      </c>
      <c r="D264" s="9" t="n">
        <v>0</v>
      </c>
      <c r="E264" s="9" t="n">
        <v/>
      </c>
      <c r="F264" s="9" t="inlineStr">
        <is>
          <t>flat</t>
        </is>
      </c>
    </row>
    <row r="265">
      <c r="A265" s="9" t="n">
        <v>264</v>
      </c>
      <c r="B265" s="9" t="inlineStr">
        <is>
          <t>Typedream</t>
        </is>
      </c>
      <c r="C265" s="9" t="inlineStr">
        <is>
          <t>Launch</t>
        </is>
      </c>
      <c r="D265" s="9" t="n">
        <v>15</v>
      </c>
      <c r="E265" s="9" t="n">
        <v/>
      </c>
      <c r="F265" s="9" t="inlineStr">
        <is>
          <t>flat</t>
        </is>
      </c>
    </row>
    <row r="266">
      <c r="A266" s="9" t="n">
        <v>265</v>
      </c>
      <c r="B266" s="9" t="inlineStr">
        <is>
          <t>Typedream</t>
        </is>
      </c>
      <c r="C266" s="9" t="inlineStr">
        <is>
          <t>Grow</t>
        </is>
      </c>
      <c r="D266" s="9" t="n">
        <v>30</v>
      </c>
      <c r="E266" s="9" t="n">
        <v/>
      </c>
      <c r="F266" s="9" t="inlineStr">
        <is>
          <t>flat</t>
        </is>
      </c>
    </row>
    <row r="267">
      <c r="A267" s="9" t="n">
        <v>266</v>
      </c>
      <c r="B267" s="9" t="inlineStr">
        <is>
          <t>Typedream</t>
        </is>
      </c>
      <c r="C267" s="9" t="inlineStr">
        <is>
          <t>Pro</t>
        </is>
      </c>
      <c r="D267" s="9" t="n">
        <v>49</v>
      </c>
      <c r="E267" s="9" t="n">
        <v/>
      </c>
      <c r="F267" s="9" t="inlineStr">
        <is>
          <t>flat</t>
        </is>
      </c>
    </row>
    <row r="268">
      <c r="A268" s="9" t="n">
        <v>267</v>
      </c>
      <c r="B268" s="9" t="inlineStr">
        <is>
          <t>Unicorn Platform</t>
        </is>
      </c>
      <c r="C268" s="9" t="inlineStr">
        <is>
          <t>Lurker</t>
        </is>
      </c>
      <c r="D268" s="9" t="n">
        <v>0</v>
      </c>
      <c r="E268" s="9" t="n">
        <v/>
      </c>
      <c r="F268" s="9" t="inlineStr">
        <is>
          <t>flat</t>
        </is>
      </c>
    </row>
    <row r="269">
      <c r="A269" s="9" t="n">
        <v>268</v>
      </c>
      <c r="B269" s="9" t="inlineStr">
        <is>
          <t>Unicorn Platform</t>
        </is>
      </c>
      <c r="C269" s="9" t="inlineStr">
        <is>
          <t>Maker</t>
        </is>
      </c>
      <c r="D269" s="9" t="n">
        <v>14</v>
      </c>
      <c r="E269" s="9" t="n">
        <v/>
      </c>
      <c r="F269" s="9" t="inlineStr">
        <is>
          <t>flat</t>
        </is>
      </c>
    </row>
    <row r="270">
      <c r="A270" s="9" t="n">
        <v>269</v>
      </c>
      <c r="B270" s="9" t="inlineStr">
        <is>
          <t>Unicorn Platform</t>
        </is>
      </c>
      <c r="C270" s="9" t="inlineStr">
        <is>
          <t>Startup</t>
        </is>
      </c>
      <c r="D270" s="9" t="n">
        <v>49</v>
      </c>
      <c r="E270" s="9" t="n">
        <v/>
      </c>
      <c r="F270" s="9" t="inlineStr">
        <is>
          <t>flat</t>
        </is>
      </c>
    </row>
    <row r="271">
      <c r="A271" s="9" t="n">
        <v>270</v>
      </c>
      <c r="B271" s="9" t="inlineStr">
        <is>
          <t>Amazon Web Services (AWS)</t>
        </is>
      </c>
      <c r="C271" s="9" t="inlineStr">
        <is>
          <t>Free Tier</t>
        </is>
      </c>
      <c r="D271" s="9" t="n">
        <v>0</v>
      </c>
      <c r="E271" s="9" t="n">
        <v/>
      </c>
      <c r="F271" s="9" t="inlineStr">
        <is>
          <t>flat</t>
        </is>
      </c>
    </row>
    <row r="272">
      <c r="A272" s="9" t="n">
        <v>271</v>
      </c>
      <c r="B272" s="9" t="inlineStr">
        <is>
          <t>Amazon Web Services (AWS)</t>
        </is>
      </c>
      <c r="C272" s="9" t="inlineStr">
        <is>
          <t>Pay-as-you-go</t>
        </is>
      </c>
      <c r="D272" s="9" t="n">
        <v/>
      </c>
      <c r="E272" s="9" t="n">
        <v/>
      </c>
      <c r="F272" s="9" t="inlineStr">
        <is>
          <t>usage-based</t>
        </is>
      </c>
    </row>
    <row r="273">
      <c r="A273" s="9" t="n">
        <v>272</v>
      </c>
      <c r="B273" s="9" t="inlineStr">
        <is>
          <t>Cloudways</t>
        </is>
      </c>
      <c r="C273" s="9" t="inlineStr">
        <is>
          <t>DO 1GB</t>
        </is>
      </c>
      <c r="D273" s="9" t="n">
        <v>14</v>
      </c>
      <c r="E273" s="9" t="n">
        <v/>
      </c>
      <c r="F273" s="9" t="inlineStr">
        <is>
          <t>flat</t>
        </is>
      </c>
    </row>
    <row r="274">
      <c r="A274" s="9" t="n">
        <v>273</v>
      </c>
      <c r="B274" s="9" t="inlineStr">
        <is>
          <t>Cloudways</t>
        </is>
      </c>
      <c r="C274" s="9" t="inlineStr">
        <is>
          <t>DO 2GB</t>
        </is>
      </c>
      <c r="D274" s="9" t="n">
        <v>28</v>
      </c>
      <c r="E274" s="9" t="n">
        <v/>
      </c>
      <c r="F274" s="9" t="inlineStr">
        <is>
          <t>flat</t>
        </is>
      </c>
    </row>
    <row r="275">
      <c r="A275" s="9" t="n">
        <v>274</v>
      </c>
      <c r="B275" s="9" t="inlineStr">
        <is>
          <t>Cloudways</t>
        </is>
      </c>
      <c r="C275" s="9" t="inlineStr">
        <is>
          <t>DO 4GB</t>
        </is>
      </c>
      <c r="D275" s="9" t="n">
        <v>54</v>
      </c>
      <c r="E275" s="9" t="n">
        <v/>
      </c>
      <c r="F275" s="9" t="inlineStr">
        <is>
          <t>flat</t>
        </is>
      </c>
    </row>
    <row r="276">
      <c r="A276" s="9" t="n">
        <v>275</v>
      </c>
      <c r="B276" s="9" t="inlineStr">
        <is>
          <t>Cloudways</t>
        </is>
      </c>
      <c r="C276" s="9" t="inlineStr">
        <is>
          <t>AWS/GCE</t>
        </is>
      </c>
      <c r="D276" s="9" t="n">
        <v>38</v>
      </c>
      <c r="E276" s="9" t="n">
        <v/>
      </c>
      <c r="F276" s="9" t="inlineStr">
        <is>
          <t>flat</t>
        </is>
      </c>
    </row>
    <row r="277">
      <c r="A277" s="9" t="n">
        <v>276</v>
      </c>
      <c r="B277" s="9" t="inlineStr">
        <is>
          <t>DigitalOcean</t>
        </is>
      </c>
      <c r="C277" s="9" t="inlineStr">
        <is>
          <t>$200 Free Credit</t>
        </is>
      </c>
      <c r="D277" s="9" t="n">
        <v>0</v>
      </c>
      <c r="E277" s="9" t="n">
        <v/>
      </c>
      <c r="F277" s="9" t="inlineStr">
        <is>
          <t>flat</t>
        </is>
      </c>
    </row>
    <row r="278">
      <c r="A278" s="9" t="n">
        <v>277</v>
      </c>
      <c r="B278" s="9" t="inlineStr">
        <is>
          <t>DigitalOcean</t>
        </is>
      </c>
      <c r="C278" s="9" t="inlineStr">
        <is>
          <t>Basic Droplet</t>
        </is>
      </c>
      <c r="D278" s="9" t="n">
        <v>4</v>
      </c>
      <c r="E278" s="9" t="n">
        <v/>
      </c>
      <c r="F278" s="9" t="inlineStr">
        <is>
          <t>flat</t>
        </is>
      </c>
    </row>
    <row r="279">
      <c r="A279" s="9" t="n">
        <v>278</v>
      </c>
      <c r="B279" s="9" t="inlineStr">
        <is>
          <t>DigitalOcean</t>
        </is>
      </c>
      <c r="C279" s="9" t="inlineStr">
        <is>
          <t>Regular Droplet</t>
        </is>
      </c>
      <c r="D279" s="9" t="n">
        <v>6</v>
      </c>
      <c r="E279" s="9" t="n">
        <v/>
      </c>
      <c r="F279" s="9" t="inlineStr">
        <is>
          <t>flat</t>
        </is>
      </c>
    </row>
    <row r="280">
      <c r="A280" s="9" t="n">
        <v>279</v>
      </c>
      <c r="B280" s="9" t="inlineStr">
        <is>
          <t>DigitalOcean</t>
        </is>
      </c>
      <c r="C280" s="9" t="inlineStr">
        <is>
          <t>Premium Droplet</t>
        </is>
      </c>
      <c r="D280" s="9" t="n">
        <v>8</v>
      </c>
      <c r="E280" s="9" t="n">
        <v/>
      </c>
      <c r="F280" s="9" t="inlineStr">
        <is>
          <t>flat</t>
        </is>
      </c>
    </row>
    <row r="281">
      <c r="A281" s="9" t="n">
        <v>280</v>
      </c>
      <c r="B281" s="9" t="inlineStr">
        <is>
          <t>Hostinger</t>
        </is>
      </c>
      <c r="C281" s="9" t="inlineStr">
        <is>
          <t>Premium</t>
        </is>
      </c>
      <c r="D281" s="9" t="n">
        <v>2.99</v>
      </c>
      <c r="E281" s="9" t="n">
        <v/>
      </c>
      <c r="F281" s="9" t="inlineStr">
        <is>
          <t>flat</t>
        </is>
      </c>
    </row>
    <row r="282">
      <c r="A282" s="9" t="n">
        <v>281</v>
      </c>
      <c r="B282" s="9" t="inlineStr">
        <is>
          <t>Hostinger</t>
        </is>
      </c>
      <c r="C282" s="9" t="inlineStr">
        <is>
          <t>Business</t>
        </is>
      </c>
      <c r="D282" s="9" t="n">
        <v>3.99</v>
      </c>
      <c r="E282" s="9" t="n">
        <v/>
      </c>
      <c r="F282" s="9" t="inlineStr">
        <is>
          <t>flat</t>
        </is>
      </c>
    </row>
    <row r="283">
      <c r="A283" s="9" t="n">
        <v>282</v>
      </c>
      <c r="B283" s="9" t="inlineStr">
        <is>
          <t>Hostinger</t>
        </is>
      </c>
      <c r="C283" s="9" t="inlineStr">
        <is>
          <t>Cloud Startup</t>
        </is>
      </c>
      <c r="D283" s="9" t="n">
        <v>9.99</v>
      </c>
      <c r="E283" s="9" t="n">
        <v/>
      </c>
      <c r="F283" s="9" t="inlineStr">
        <is>
          <t>flat</t>
        </is>
      </c>
    </row>
    <row r="284">
      <c r="A284" s="9" t="n">
        <v>283</v>
      </c>
      <c r="B284" s="9" t="inlineStr">
        <is>
          <t>SiteGround</t>
        </is>
      </c>
      <c r="C284" s="9" t="inlineStr">
        <is>
          <t>StartUp</t>
        </is>
      </c>
      <c r="D284" s="9" t="n">
        <v>2.99</v>
      </c>
      <c r="E284" s="9" t="n">
        <v/>
      </c>
      <c r="F284" s="9" t="inlineStr">
        <is>
          <t>flat</t>
        </is>
      </c>
    </row>
    <row r="285">
      <c r="A285" s="9" t="n">
        <v>284</v>
      </c>
      <c r="B285" s="9" t="inlineStr">
        <is>
          <t>SiteGround</t>
        </is>
      </c>
      <c r="C285" s="9" t="inlineStr">
        <is>
          <t>GrowBig</t>
        </is>
      </c>
      <c r="D285" s="9" t="n">
        <v>4.99</v>
      </c>
      <c r="E285" s="9" t="n">
        <v/>
      </c>
      <c r="F285" s="9" t="inlineStr">
        <is>
          <t>flat</t>
        </is>
      </c>
    </row>
    <row r="286">
      <c r="A286" s="9" t="n">
        <v>285</v>
      </c>
      <c r="B286" s="9" t="inlineStr">
        <is>
          <t>SiteGround</t>
        </is>
      </c>
      <c r="C286" s="9" t="inlineStr">
        <is>
          <t>GoGeek</t>
        </is>
      </c>
      <c r="D286" s="9" t="n">
        <v>7.99</v>
      </c>
      <c r="E286" s="9" t="n">
        <v/>
      </c>
      <c r="F286" s="9" t="inlineStr">
        <is>
          <t>flat</t>
        </is>
      </c>
    </row>
    <row r="287">
      <c r="A287" s="9" t="n">
        <v>286</v>
      </c>
      <c r="B287" s="9" t="inlineStr">
        <is>
          <t>Kinsta</t>
        </is>
      </c>
      <c r="C287" s="9" t="inlineStr">
        <is>
          <t>Starter</t>
        </is>
      </c>
      <c r="D287" s="9" t="n">
        <v>35</v>
      </c>
      <c r="E287" s="9" t="n">
        <v/>
      </c>
      <c r="F287" s="9" t="inlineStr">
        <is>
          <t>flat</t>
        </is>
      </c>
    </row>
    <row r="288">
      <c r="A288" s="9" t="n">
        <v>287</v>
      </c>
      <c r="B288" s="9" t="inlineStr">
        <is>
          <t>Kinsta</t>
        </is>
      </c>
      <c r="C288" s="9" t="inlineStr">
        <is>
          <t>Pro</t>
        </is>
      </c>
      <c r="D288" s="9" t="n">
        <v>70</v>
      </c>
      <c r="E288" s="9" t="n">
        <v/>
      </c>
      <c r="F288" s="9" t="inlineStr">
        <is>
          <t>flat</t>
        </is>
      </c>
    </row>
    <row r="289">
      <c r="A289" s="9" t="n">
        <v>288</v>
      </c>
      <c r="B289" s="9" t="inlineStr">
        <is>
          <t>Kinsta</t>
        </is>
      </c>
      <c r="C289" s="9" t="inlineStr">
        <is>
          <t>Business 1</t>
        </is>
      </c>
      <c r="D289" s="9" t="n">
        <v>115</v>
      </c>
      <c r="E289" s="9" t="n">
        <v/>
      </c>
      <c r="F289" s="9" t="inlineStr">
        <is>
          <t>flat</t>
        </is>
      </c>
    </row>
    <row r="290">
      <c r="A290" s="9" t="n">
        <v>289</v>
      </c>
      <c r="B290" s="9" t="inlineStr">
        <is>
          <t>Kinsta</t>
        </is>
      </c>
      <c r="C290" s="9" t="inlineStr">
        <is>
          <t>Enterprise 1</t>
        </is>
      </c>
      <c r="D290" s="9" t="n">
        <v>675</v>
      </c>
      <c r="E290" s="9" t="n">
        <v/>
      </c>
      <c r="F290" s="9" t="inlineStr">
        <is>
          <t>flat</t>
        </is>
      </c>
    </row>
    <row r="291">
      <c r="A291" s="9" t="n">
        <v>290</v>
      </c>
      <c r="B291" s="9" t="inlineStr">
        <is>
          <t>Vercel</t>
        </is>
      </c>
      <c r="C291" s="9" t="inlineStr">
        <is>
          <t>Hobby</t>
        </is>
      </c>
      <c r="D291" s="9" t="n">
        <v>0</v>
      </c>
      <c r="E291" s="9" t="n">
        <v/>
      </c>
      <c r="F291" s="9" t="inlineStr">
        <is>
          <t>flat</t>
        </is>
      </c>
    </row>
    <row r="292">
      <c r="A292" s="9" t="n">
        <v>291</v>
      </c>
      <c r="B292" s="9" t="inlineStr">
        <is>
          <t>Vercel</t>
        </is>
      </c>
      <c r="C292" s="9" t="inlineStr">
        <is>
          <t>Pro</t>
        </is>
      </c>
      <c r="D292" s="9" t="n">
        <v>20</v>
      </c>
      <c r="E292" s="9" t="n">
        <v/>
      </c>
      <c r="F292" s="9" t="inlineStr">
        <is>
          <t>per-seat</t>
        </is>
      </c>
    </row>
    <row r="293">
      <c r="A293" s="9" t="n">
        <v>292</v>
      </c>
      <c r="B293" s="9" t="inlineStr">
        <is>
          <t>Vercel</t>
        </is>
      </c>
      <c r="C293" s="9" t="inlineStr">
        <is>
          <t>Enterprise</t>
        </is>
      </c>
      <c r="D293" s="9" t="n">
        <v/>
      </c>
      <c r="E293" s="9" t="n">
        <v/>
      </c>
      <c r="F293" s="9" t="inlineStr">
        <is>
          <t>flat</t>
        </is>
      </c>
    </row>
    <row r="294">
      <c r="A294" s="9" t="n">
        <v>293</v>
      </c>
      <c r="B294" s="9" t="inlineStr">
        <is>
          <t>Netlify</t>
        </is>
      </c>
      <c r="C294" s="9" t="inlineStr">
        <is>
          <t>Starter</t>
        </is>
      </c>
      <c r="D294" s="9" t="n">
        <v>0</v>
      </c>
      <c r="E294" s="9" t="n">
        <v/>
      </c>
      <c r="F294" s="9" t="inlineStr">
        <is>
          <t>flat</t>
        </is>
      </c>
    </row>
    <row r="295">
      <c r="A295" s="9" t="n">
        <v>294</v>
      </c>
      <c r="B295" s="9" t="inlineStr">
        <is>
          <t>Netlify</t>
        </is>
      </c>
      <c r="C295" s="9" t="inlineStr">
        <is>
          <t>Pro</t>
        </is>
      </c>
      <c r="D295" s="9" t="n">
        <v>19</v>
      </c>
      <c r="E295" s="9" t="n">
        <v/>
      </c>
      <c r="F295" s="9" t="inlineStr">
        <is>
          <t>per-seat</t>
        </is>
      </c>
    </row>
    <row r="296">
      <c r="A296" s="9" t="n">
        <v>295</v>
      </c>
      <c r="B296" s="9" t="inlineStr">
        <is>
          <t>Netlify</t>
        </is>
      </c>
      <c r="C296" s="9" t="inlineStr">
        <is>
          <t>Enterprise</t>
        </is>
      </c>
      <c r="D296" s="9" t="n">
        <v/>
      </c>
      <c r="E296" s="9" t="n">
        <v/>
      </c>
      <c r="F296" s="9" t="inlineStr">
        <is>
          <t>flat</t>
        </is>
      </c>
    </row>
    <row r="297">
      <c r="A297" s="9" t="n">
        <v>296</v>
      </c>
      <c r="B297" s="9" t="inlineStr">
        <is>
          <t>Fly.io</t>
        </is>
      </c>
      <c r="C297" s="9" t="inlineStr">
        <is>
          <t>Hobby</t>
        </is>
      </c>
      <c r="D297" s="9" t="n">
        <v>0</v>
      </c>
      <c r="E297" s="9" t="n">
        <v/>
      </c>
      <c r="F297" s="9" t="inlineStr">
        <is>
          <t>flat</t>
        </is>
      </c>
    </row>
    <row r="298">
      <c r="A298" s="9" t="n">
        <v>297</v>
      </c>
      <c r="B298" s="9" t="inlineStr">
        <is>
          <t>Fly.io</t>
        </is>
      </c>
      <c r="C298" s="9" t="inlineStr">
        <is>
          <t>Launch</t>
        </is>
      </c>
      <c r="D298" s="9" t="n">
        <v>29</v>
      </c>
      <c r="E298" s="9" t="n">
        <v/>
      </c>
      <c r="F298" s="9" t="inlineStr">
        <is>
          <t>flat</t>
        </is>
      </c>
    </row>
    <row r="299">
      <c r="A299" s="9" t="n">
        <v>298</v>
      </c>
      <c r="B299" s="9" t="inlineStr">
        <is>
          <t>Fly.io</t>
        </is>
      </c>
      <c r="C299" s="9" t="inlineStr">
        <is>
          <t>Scale</t>
        </is>
      </c>
      <c r="D299" s="9" t="n">
        <v/>
      </c>
      <c r="E299" s="9" t="n">
        <v/>
      </c>
      <c r="F299" s="9" t="inlineStr">
        <is>
          <t>flat</t>
        </is>
      </c>
    </row>
    <row r="300">
      <c r="A300" s="9" t="n">
        <v>299</v>
      </c>
      <c r="B300" s="9" t="inlineStr">
        <is>
          <t>Railway</t>
        </is>
      </c>
      <c r="C300" s="9" t="inlineStr">
        <is>
          <t>Trial</t>
        </is>
      </c>
      <c r="D300" s="9" t="n">
        <v>0</v>
      </c>
      <c r="E300" s="9" t="n">
        <v/>
      </c>
      <c r="F300" s="9" t="inlineStr">
        <is>
          <t>flat</t>
        </is>
      </c>
    </row>
    <row r="301">
      <c r="A301" s="9" t="n">
        <v>300</v>
      </c>
      <c r="B301" s="9" t="inlineStr">
        <is>
          <t>Railway</t>
        </is>
      </c>
      <c r="C301" s="9" t="inlineStr">
        <is>
          <t>Hobby</t>
        </is>
      </c>
      <c r="D301" s="9" t="n">
        <v>5</v>
      </c>
      <c r="E301" s="9" t="n">
        <v/>
      </c>
      <c r="F301" s="9" t="inlineStr">
        <is>
          <t>flat</t>
        </is>
      </c>
    </row>
    <row r="302">
      <c r="A302" s="9" t="n">
        <v>301</v>
      </c>
      <c r="B302" s="9" t="inlineStr">
        <is>
          <t>Railway</t>
        </is>
      </c>
      <c r="C302" s="9" t="inlineStr">
        <is>
          <t>Pro</t>
        </is>
      </c>
      <c r="D302" s="9" t="n">
        <v>20</v>
      </c>
      <c r="E302" s="9" t="n">
        <v/>
      </c>
      <c r="F302" s="9" t="inlineStr">
        <is>
          <t>per-seat</t>
        </is>
      </c>
    </row>
    <row r="303">
      <c r="A303" s="9" t="n">
        <v>302</v>
      </c>
      <c r="B303" s="9" t="inlineStr">
        <is>
          <t>Railway</t>
        </is>
      </c>
      <c r="C303" s="9" t="inlineStr">
        <is>
          <t>Enterprise</t>
        </is>
      </c>
      <c r="D303" s="9" t="n">
        <v/>
      </c>
      <c r="E303" s="9" t="n">
        <v/>
      </c>
      <c r="F303" s="9" t="inlineStr">
        <is>
          <t>flat</t>
        </is>
      </c>
    </row>
    <row r="304">
      <c r="A304" s="9" t="n">
        <v>303</v>
      </c>
      <c r="B304" s="9" t="inlineStr">
        <is>
          <t>Render</t>
        </is>
      </c>
      <c r="C304" s="9" t="inlineStr">
        <is>
          <t>Free</t>
        </is>
      </c>
      <c r="D304" s="9" t="n">
        <v>0</v>
      </c>
      <c r="E304" s="9" t="n">
        <v/>
      </c>
      <c r="F304" s="9" t="inlineStr">
        <is>
          <t>flat</t>
        </is>
      </c>
    </row>
    <row r="305">
      <c r="A305" s="9" t="n">
        <v>304</v>
      </c>
      <c r="B305" s="9" t="inlineStr">
        <is>
          <t>Render</t>
        </is>
      </c>
      <c r="C305" s="9" t="inlineStr">
        <is>
          <t>Individual</t>
        </is>
      </c>
      <c r="D305" s="9" t="n">
        <v>7</v>
      </c>
      <c r="E305" s="9" t="n">
        <v/>
      </c>
      <c r="F305" s="9" t="inlineStr">
        <is>
          <t>flat</t>
        </is>
      </c>
    </row>
    <row r="306">
      <c r="A306" s="9" t="n">
        <v>305</v>
      </c>
      <c r="B306" s="9" t="inlineStr">
        <is>
          <t>Render</t>
        </is>
      </c>
      <c r="C306" s="9" t="inlineStr">
        <is>
          <t>Team</t>
        </is>
      </c>
      <c r="D306" s="9" t="n">
        <v>19</v>
      </c>
      <c r="E306" s="9" t="n">
        <v/>
      </c>
      <c r="F306" s="9" t="inlineStr">
        <is>
          <t>flat</t>
        </is>
      </c>
    </row>
    <row r="307">
      <c r="A307" s="9" t="n">
        <v>306</v>
      </c>
      <c r="B307" s="9" t="inlineStr">
        <is>
          <t>Render</t>
        </is>
      </c>
      <c r="C307" s="9" t="inlineStr">
        <is>
          <t>Enterprise</t>
        </is>
      </c>
      <c r="D307" s="9" t="n">
        <v/>
      </c>
      <c r="E307" s="9" t="n">
        <v/>
      </c>
      <c r="F307" s="9" t="inlineStr">
        <is>
          <t>flat</t>
        </is>
      </c>
    </row>
    <row r="308">
      <c r="A308" s="9" t="n">
        <v>307</v>
      </c>
      <c r="B308" s="9" t="inlineStr">
        <is>
          <t>Hetzner</t>
        </is>
      </c>
      <c r="C308" s="9" t="inlineStr">
        <is>
          <t>CX22</t>
        </is>
      </c>
      <c r="D308" s="9" t="n">
        <v>4.35</v>
      </c>
      <c r="E308" s="9" t="n">
        <v/>
      </c>
      <c r="F308" s="9" t="inlineStr">
        <is>
          <t>flat</t>
        </is>
      </c>
    </row>
    <row r="309">
      <c r="A309" s="9" t="n">
        <v>308</v>
      </c>
      <c r="B309" s="9" t="inlineStr">
        <is>
          <t>Hetzner</t>
        </is>
      </c>
      <c r="C309" s="9" t="inlineStr">
        <is>
          <t>CX32</t>
        </is>
      </c>
      <c r="D309" s="9" t="n">
        <v>7.69</v>
      </c>
      <c r="E309" s="9" t="n">
        <v/>
      </c>
      <c r="F309" s="9" t="inlineStr">
        <is>
          <t>flat</t>
        </is>
      </c>
    </row>
    <row r="310">
      <c r="A310" s="9" t="n">
        <v>309</v>
      </c>
      <c r="B310" s="9" t="inlineStr">
        <is>
          <t>Hetzner</t>
        </is>
      </c>
      <c r="C310" s="9" t="inlineStr">
        <is>
          <t>CX42</t>
        </is>
      </c>
      <c r="D310" s="9" t="n">
        <v>14.49</v>
      </c>
      <c r="E310" s="9" t="n">
        <v/>
      </c>
      <c r="F310" s="9" t="inlineStr">
        <is>
          <t>flat</t>
        </is>
      </c>
    </row>
    <row r="311">
      <c r="A311" s="9" t="n">
        <v>310</v>
      </c>
      <c r="B311" s="9" t="inlineStr">
        <is>
          <t>Hetzner</t>
        </is>
      </c>
      <c r="C311" s="9" t="inlineStr">
        <is>
          <t>Dedicated</t>
        </is>
      </c>
      <c r="D311" s="9" t="n">
        <v>44</v>
      </c>
      <c r="E311" s="9" t="n">
        <v/>
      </c>
      <c r="F311" s="9" t="inlineStr">
        <is>
          <t>flat</t>
        </is>
      </c>
    </row>
    <row r="312">
      <c r="A312" s="9" t="n">
        <v>311</v>
      </c>
      <c r="B312" s="9" t="inlineStr">
        <is>
          <t>Vultr</t>
        </is>
      </c>
      <c r="C312" s="9" t="inlineStr">
        <is>
          <t>$250 Credit</t>
        </is>
      </c>
      <c r="D312" s="9" t="n">
        <v>0</v>
      </c>
      <c r="E312" s="9" t="n">
        <v/>
      </c>
      <c r="F312" s="9" t="inlineStr">
        <is>
          <t>flat</t>
        </is>
      </c>
    </row>
    <row r="313">
      <c r="A313" s="9" t="n">
        <v>312</v>
      </c>
      <c r="B313" s="9" t="inlineStr">
        <is>
          <t>Vultr</t>
        </is>
      </c>
      <c r="C313" s="9" t="inlineStr">
        <is>
          <t>Cloud Compute</t>
        </is>
      </c>
      <c r="D313" s="9" t="n">
        <v>2.5</v>
      </c>
      <c r="E313" s="9" t="n">
        <v/>
      </c>
      <c r="F313" s="9" t="inlineStr">
        <is>
          <t>flat</t>
        </is>
      </c>
    </row>
    <row r="314">
      <c r="A314" s="9" t="n">
        <v>313</v>
      </c>
      <c r="B314" s="9" t="inlineStr">
        <is>
          <t>Vultr</t>
        </is>
      </c>
      <c r="C314" s="9" t="inlineStr">
        <is>
          <t>High Frequency</t>
        </is>
      </c>
      <c r="D314" s="9" t="n">
        <v>6</v>
      </c>
      <c r="E314" s="9" t="n">
        <v/>
      </c>
      <c r="F314" s="9" t="inlineStr">
        <is>
          <t>flat</t>
        </is>
      </c>
    </row>
    <row r="315">
      <c r="A315" s="9" t="n">
        <v>314</v>
      </c>
      <c r="B315" s="9" t="inlineStr">
        <is>
          <t>Vultr</t>
        </is>
      </c>
      <c r="C315" s="9" t="inlineStr">
        <is>
          <t>Bare Metal</t>
        </is>
      </c>
      <c r="D315" s="9" t="n">
        <v>120</v>
      </c>
      <c r="E315" s="9" t="n">
        <v/>
      </c>
      <c r="F315" s="9" t="inlineStr">
        <is>
          <t>flat</t>
        </is>
      </c>
    </row>
    <row r="316">
      <c r="A316" s="9" t="n">
        <v>315</v>
      </c>
      <c r="B316" s="9" t="inlineStr">
        <is>
          <t>Linode (Akamai Cloud)</t>
        </is>
      </c>
      <c r="C316" s="9" t="inlineStr">
        <is>
          <t>$100 Credit</t>
        </is>
      </c>
      <c r="D316" s="9" t="n">
        <v>0</v>
      </c>
      <c r="E316" s="9" t="n">
        <v/>
      </c>
      <c r="F316" s="9" t="inlineStr">
        <is>
          <t>flat</t>
        </is>
      </c>
    </row>
    <row r="317">
      <c r="A317" s="9" t="n">
        <v>316</v>
      </c>
      <c r="B317" s="9" t="inlineStr">
        <is>
          <t>Linode (Akamai Cloud)</t>
        </is>
      </c>
      <c r="C317" s="9" t="inlineStr">
        <is>
          <t>Nanode</t>
        </is>
      </c>
      <c r="D317" s="9" t="n">
        <v>5</v>
      </c>
      <c r="E317" s="9" t="n">
        <v/>
      </c>
      <c r="F317" s="9" t="inlineStr">
        <is>
          <t>flat</t>
        </is>
      </c>
    </row>
    <row r="318">
      <c r="A318" s="9" t="n">
        <v>317</v>
      </c>
      <c r="B318" s="9" t="inlineStr">
        <is>
          <t>Linode (Akamai Cloud)</t>
        </is>
      </c>
      <c r="C318" s="9" t="inlineStr">
        <is>
          <t>Linode 2GB</t>
        </is>
      </c>
      <c r="D318" s="9" t="n">
        <v>12</v>
      </c>
      <c r="E318" s="9" t="n">
        <v/>
      </c>
      <c r="F318" s="9" t="inlineStr">
        <is>
          <t>flat</t>
        </is>
      </c>
    </row>
    <row r="319">
      <c r="A319" s="9" t="n">
        <v>318</v>
      </c>
      <c r="B319" s="9" t="inlineStr">
        <is>
          <t>Linode (Akamai Cloud)</t>
        </is>
      </c>
      <c r="C319" s="9" t="inlineStr">
        <is>
          <t>Linode 4GB</t>
        </is>
      </c>
      <c r="D319" s="9" t="n">
        <v>24</v>
      </c>
      <c r="E319" s="9" t="n">
        <v/>
      </c>
      <c r="F319" s="9" t="inlineStr">
        <is>
          <t>flat</t>
        </is>
      </c>
    </row>
    <row r="320">
      <c r="A320" s="9" t="n">
        <v>319</v>
      </c>
      <c r="B320" s="9" t="inlineStr">
        <is>
          <t>Google Cloud Platform</t>
        </is>
      </c>
      <c r="C320" s="9" t="inlineStr">
        <is>
          <t>Free Tier</t>
        </is>
      </c>
      <c r="D320" s="9" t="n">
        <v>0</v>
      </c>
      <c r="E320" s="9" t="n">
        <v/>
      </c>
      <c r="F320" s="9" t="inlineStr">
        <is>
          <t>flat</t>
        </is>
      </c>
    </row>
    <row r="321">
      <c r="A321" s="9" t="n">
        <v>320</v>
      </c>
      <c r="B321" s="9" t="inlineStr">
        <is>
          <t>Google Cloud Platform</t>
        </is>
      </c>
      <c r="C321" s="9" t="inlineStr">
        <is>
          <t>Pay-as-you-go</t>
        </is>
      </c>
      <c r="D321" s="9" t="n">
        <v/>
      </c>
      <c r="E321" s="9" t="n">
        <v/>
      </c>
      <c r="F321" s="9" t="inlineStr">
        <is>
          <t>usage-based</t>
        </is>
      </c>
    </row>
    <row r="322">
      <c r="A322" s="9" t="n">
        <v>321</v>
      </c>
      <c r="B322" s="9" t="inlineStr">
        <is>
          <t>Microsoft Azure</t>
        </is>
      </c>
      <c r="C322" s="9" t="inlineStr">
        <is>
          <t>Free Account</t>
        </is>
      </c>
      <c r="D322" s="9" t="n">
        <v>0</v>
      </c>
      <c r="E322" s="9" t="n">
        <v/>
      </c>
      <c r="F322" s="9" t="inlineStr">
        <is>
          <t>flat</t>
        </is>
      </c>
    </row>
    <row r="323">
      <c r="A323" s="9" t="n">
        <v>322</v>
      </c>
      <c r="B323" s="9" t="inlineStr">
        <is>
          <t>Microsoft Azure</t>
        </is>
      </c>
      <c r="C323" s="9" t="inlineStr">
        <is>
          <t>Pay-as-you-go</t>
        </is>
      </c>
      <c r="D323" s="9" t="n">
        <v/>
      </c>
      <c r="E323" s="9" t="n">
        <v/>
      </c>
      <c r="F323" s="9" t="inlineStr">
        <is>
          <t>usage-based</t>
        </is>
      </c>
    </row>
    <row r="324">
      <c r="A324" s="9" t="n">
        <v>323</v>
      </c>
      <c r="B324" s="9" t="inlineStr">
        <is>
          <t>A2 Hosting</t>
        </is>
      </c>
      <c r="C324" s="9" t="inlineStr">
        <is>
          <t>Startup</t>
        </is>
      </c>
      <c r="D324" s="9" t="n">
        <v>2.99</v>
      </c>
      <c r="E324" s="9" t="n">
        <v/>
      </c>
      <c r="F324" s="9" t="inlineStr">
        <is>
          <t>flat</t>
        </is>
      </c>
    </row>
    <row r="325">
      <c r="A325" s="9" t="n">
        <v>324</v>
      </c>
      <c r="B325" s="9" t="inlineStr">
        <is>
          <t>A2 Hosting</t>
        </is>
      </c>
      <c r="C325" s="9" t="inlineStr">
        <is>
          <t>Drive</t>
        </is>
      </c>
      <c r="D325" s="9" t="n">
        <v>5.99</v>
      </c>
      <c r="E325" s="9" t="n">
        <v/>
      </c>
      <c r="F325" s="9" t="inlineStr">
        <is>
          <t>flat</t>
        </is>
      </c>
    </row>
    <row r="326">
      <c r="A326" s="9" t="n">
        <v>325</v>
      </c>
      <c r="B326" s="9" t="inlineStr">
        <is>
          <t>A2 Hosting</t>
        </is>
      </c>
      <c r="C326" s="9" t="inlineStr">
        <is>
          <t>Turbo Boost</t>
        </is>
      </c>
      <c r="D326" s="9" t="n">
        <v>6.99</v>
      </c>
      <c r="E326" s="9" t="n">
        <v/>
      </c>
      <c r="F326" s="9" t="inlineStr">
        <is>
          <t>flat</t>
        </is>
      </c>
    </row>
    <row r="327">
      <c r="A327" s="9" t="n">
        <v>326</v>
      </c>
      <c r="B327" s="9" t="inlineStr">
        <is>
          <t>A2 Hosting</t>
        </is>
      </c>
      <c r="C327" s="9" t="inlineStr">
        <is>
          <t>Turbo Max</t>
        </is>
      </c>
      <c r="D327" s="9" t="n">
        <v>14.99</v>
      </c>
      <c r="E327" s="9" t="n">
        <v/>
      </c>
      <c r="F327" s="9" t="inlineStr">
        <is>
          <t>flat</t>
        </is>
      </c>
    </row>
    <row r="328">
      <c r="A328" s="9" t="n">
        <v>327</v>
      </c>
      <c r="B328" s="9" t="inlineStr">
        <is>
          <t>Bluehost</t>
        </is>
      </c>
      <c r="C328" s="9" t="inlineStr">
        <is>
          <t>Basic</t>
        </is>
      </c>
      <c r="D328" s="9" t="n">
        <v>2.95</v>
      </c>
      <c r="E328" s="9" t="n">
        <v/>
      </c>
      <c r="F328" s="9" t="inlineStr">
        <is>
          <t>flat</t>
        </is>
      </c>
    </row>
    <row r="329">
      <c r="A329" s="9" t="n">
        <v>328</v>
      </c>
      <c r="B329" s="9" t="inlineStr">
        <is>
          <t>Bluehost</t>
        </is>
      </c>
      <c r="C329" s="9" t="inlineStr">
        <is>
          <t>Plus</t>
        </is>
      </c>
      <c r="D329" s="9" t="n">
        <v>5.45</v>
      </c>
      <c r="E329" s="9" t="n">
        <v/>
      </c>
      <c r="F329" s="9" t="inlineStr">
        <is>
          <t>flat</t>
        </is>
      </c>
    </row>
    <row r="330">
      <c r="A330" s="9" t="n">
        <v>329</v>
      </c>
      <c r="B330" s="9" t="inlineStr">
        <is>
          <t>Bluehost</t>
        </is>
      </c>
      <c r="C330" s="9" t="inlineStr">
        <is>
          <t>Choice Plus</t>
        </is>
      </c>
      <c r="D330" s="9" t="n">
        <v>5.45</v>
      </c>
      <c r="E330" s="9" t="n">
        <v/>
      </c>
      <c r="F330" s="9" t="inlineStr">
        <is>
          <t>flat</t>
        </is>
      </c>
    </row>
    <row r="331">
      <c r="A331" s="9" t="n">
        <v>330</v>
      </c>
      <c r="B331" s="9" t="inlineStr">
        <is>
          <t>Bluehost</t>
        </is>
      </c>
      <c r="C331" s="9" t="inlineStr">
        <is>
          <t>Online Store</t>
        </is>
      </c>
      <c r="D331" s="9" t="n">
        <v>9.949999999999999</v>
      </c>
      <c r="E331" s="9" t="n">
        <v/>
      </c>
      <c r="F331" s="9" t="inlineStr">
        <is>
          <t>flat</t>
        </is>
      </c>
    </row>
    <row r="332">
      <c r="A332" s="9" t="n">
        <v>331</v>
      </c>
      <c r="B332" s="9" t="inlineStr">
        <is>
          <t>Namecheap</t>
        </is>
      </c>
      <c r="C332" s="9" t="inlineStr">
        <is>
          <t>Stellar</t>
        </is>
      </c>
      <c r="D332" s="9" t="n">
        <v>1.98</v>
      </c>
      <c r="E332" s="9" t="n">
        <v/>
      </c>
      <c r="F332" s="9" t="inlineStr">
        <is>
          <t>flat</t>
        </is>
      </c>
    </row>
    <row r="333">
      <c r="A333" s="9" t="n">
        <v>332</v>
      </c>
      <c r="B333" s="9" t="inlineStr">
        <is>
          <t>Namecheap</t>
        </is>
      </c>
      <c r="C333" s="9" t="inlineStr">
        <is>
          <t>Stellar Plus</t>
        </is>
      </c>
      <c r="D333" s="9" t="n">
        <v>2.98</v>
      </c>
      <c r="E333" s="9" t="n">
        <v/>
      </c>
      <c r="F333" s="9" t="inlineStr">
        <is>
          <t>flat</t>
        </is>
      </c>
    </row>
    <row r="334">
      <c r="A334" s="9" t="n">
        <v>333</v>
      </c>
      <c r="B334" s="9" t="inlineStr">
        <is>
          <t>Namecheap</t>
        </is>
      </c>
      <c r="C334" s="9" t="inlineStr">
        <is>
          <t>Stellar Business</t>
        </is>
      </c>
      <c r="D334" s="9" t="n">
        <v>4.98</v>
      </c>
      <c r="E334" s="9" t="n">
        <v/>
      </c>
      <c r="F334" s="9" t="inlineStr">
        <is>
          <t>flat</t>
        </is>
      </c>
    </row>
    <row r="335">
      <c r="A335" s="9" t="n">
        <v>334</v>
      </c>
      <c r="B335" s="9" t="inlineStr">
        <is>
          <t>WP Engine</t>
        </is>
      </c>
      <c r="C335" s="9" t="inlineStr">
        <is>
          <t>Startup</t>
        </is>
      </c>
      <c r="D335" s="9" t="n">
        <v>20</v>
      </c>
      <c r="E335" s="9" t="n">
        <v/>
      </c>
      <c r="F335" s="9" t="inlineStr">
        <is>
          <t>flat</t>
        </is>
      </c>
    </row>
    <row r="336">
      <c r="A336" s="9" t="n">
        <v>335</v>
      </c>
      <c r="B336" s="9" t="inlineStr">
        <is>
          <t>WP Engine</t>
        </is>
      </c>
      <c r="C336" s="9" t="inlineStr">
        <is>
          <t>Professional</t>
        </is>
      </c>
      <c r="D336" s="9" t="n">
        <v>39</v>
      </c>
      <c r="E336" s="9" t="n">
        <v/>
      </c>
      <c r="F336" s="9" t="inlineStr">
        <is>
          <t>flat</t>
        </is>
      </c>
    </row>
    <row r="337">
      <c r="A337" s="9" t="n">
        <v>336</v>
      </c>
      <c r="B337" s="9" t="inlineStr">
        <is>
          <t>WP Engine</t>
        </is>
      </c>
      <c r="C337" s="9" t="inlineStr">
        <is>
          <t>Growth</t>
        </is>
      </c>
      <c r="D337" s="9" t="n">
        <v>77</v>
      </c>
      <c r="E337" s="9" t="n">
        <v/>
      </c>
      <c r="F337" s="9" t="inlineStr">
        <is>
          <t>flat</t>
        </is>
      </c>
    </row>
    <row r="338">
      <c r="A338" s="9" t="n">
        <v>337</v>
      </c>
      <c r="B338" s="9" t="inlineStr">
        <is>
          <t>WP Engine</t>
        </is>
      </c>
      <c r="C338" s="9" t="inlineStr">
        <is>
          <t>Scale</t>
        </is>
      </c>
      <c r="D338" s="9" t="n">
        <v>193</v>
      </c>
      <c r="E338" s="9" t="n">
        <v/>
      </c>
      <c r="F338" s="9" t="inlineStr">
        <is>
          <t>flat</t>
        </is>
      </c>
    </row>
    <row r="339">
      <c r="A339" s="9" t="n">
        <v>338</v>
      </c>
      <c r="B339" s="9" t="inlineStr">
        <is>
          <t>Figma</t>
        </is>
      </c>
      <c r="C339" s="9" t="inlineStr">
        <is>
          <t>Starter</t>
        </is>
      </c>
      <c r="D339" s="9" t="n">
        <v>0</v>
      </c>
      <c r="E339" s="9" t="n">
        <v/>
      </c>
      <c r="F339" s="9" t="inlineStr">
        <is>
          <t>flat</t>
        </is>
      </c>
    </row>
    <row r="340">
      <c r="A340" s="9" t="n">
        <v>339</v>
      </c>
      <c r="B340" s="9" t="inlineStr">
        <is>
          <t>Figma</t>
        </is>
      </c>
      <c r="C340" s="9" t="inlineStr">
        <is>
          <t>Professional</t>
        </is>
      </c>
      <c r="D340" s="9" t="n">
        <v>16</v>
      </c>
      <c r="E340" s="9" t="n">
        <v/>
      </c>
      <c r="F340" s="9" t="inlineStr">
        <is>
          <t>per-seat</t>
        </is>
      </c>
    </row>
    <row r="341">
      <c r="A341" s="9" t="n">
        <v>340</v>
      </c>
      <c r="B341" s="9" t="inlineStr">
        <is>
          <t>Figma</t>
        </is>
      </c>
      <c r="C341" s="9" t="inlineStr">
        <is>
          <t>Organization</t>
        </is>
      </c>
      <c r="D341" s="9" t="n">
        <v>55</v>
      </c>
      <c r="E341" s="9" t="n">
        <v/>
      </c>
      <c r="F341" s="9" t="inlineStr">
        <is>
          <t>per-seat</t>
        </is>
      </c>
    </row>
    <row r="342">
      <c r="A342" s="9" t="n">
        <v>341</v>
      </c>
      <c r="B342" s="9" t="inlineStr">
        <is>
          <t>Figma</t>
        </is>
      </c>
      <c r="C342" s="9" t="inlineStr">
        <is>
          <t>Enterprise</t>
        </is>
      </c>
      <c r="D342" s="9" t="n">
        <v>90</v>
      </c>
      <c r="E342" s="9" t="n">
        <v/>
      </c>
      <c r="F342" s="9" t="inlineStr">
        <is>
          <t>per-seat</t>
        </is>
      </c>
    </row>
    <row r="343">
      <c r="A343" s="9" t="n">
        <v>342</v>
      </c>
      <c r="B343" s="9" t="inlineStr">
        <is>
          <t>Canva</t>
        </is>
      </c>
      <c r="C343" s="9" t="inlineStr">
        <is>
          <t>Free</t>
        </is>
      </c>
      <c r="D343" s="9" t="n">
        <v>0</v>
      </c>
      <c r="E343" s="9" t="n">
        <v/>
      </c>
      <c r="F343" s="9" t="inlineStr">
        <is>
          <t>flat</t>
        </is>
      </c>
    </row>
    <row r="344">
      <c r="A344" s="9" t="n">
        <v>343</v>
      </c>
      <c r="B344" s="9" t="inlineStr">
        <is>
          <t>Canva</t>
        </is>
      </c>
      <c r="C344" s="9" t="inlineStr">
        <is>
          <t>Pro</t>
        </is>
      </c>
      <c r="D344" s="9" t="n">
        <v>15</v>
      </c>
      <c r="E344" s="9" t="n">
        <v/>
      </c>
      <c r="F344" s="9" t="inlineStr">
        <is>
          <t>per-seat</t>
        </is>
      </c>
    </row>
    <row r="345">
      <c r="A345" s="9" t="n">
        <v>344</v>
      </c>
      <c r="B345" s="9" t="inlineStr">
        <is>
          <t>Canva</t>
        </is>
      </c>
      <c r="C345" s="9" t="inlineStr">
        <is>
          <t>Teams</t>
        </is>
      </c>
      <c r="D345" s="9" t="n">
        <v>10</v>
      </c>
      <c r="E345" s="9" t="n">
        <v/>
      </c>
      <c r="F345" s="9" t="inlineStr">
        <is>
          <t>per-seat</t>
        </is>
      </c>
    </row>
    <row r="346">
      <c r="A346" s="9" t="n">
        <v>345</v>
      </c>
      <c r="B346" s="9" t="inlineStr">
        <is>
          <t>Canva</t>
        </is>
      </c>
      <c r="C346" s="9" t="inlineStr">
        <is>
          <t>Enterprise</t>
        </is>
      </c>
      <c r="D346" s="9" t="n">
        <v/>
      </c>
      <c r="E346" s="9" t="n">
        <v/>
      </c>
      <c r="F346" s="9" t="inlineStr">
        <is>
          <t>per-seat</t>
        </is>
      </c>
    </row>
    <row r="347">
      <c r="A347" s="9" t="n">
        <v>346</v>
      </c>
      <c r="B347" s="9" t="inlineStr">
        <is>
          <t>Adobe XD</t>
        </is>
      </c>
      <c r="C347" s="9" t="inlineStr">
        <is>
          <t>Creative Cloud All Apps</t>
        </is>
      </c>
      <c r="D347" s="9" t="n">
        <v>59.99</v>
      </c>
      <c r="E347" s="9" t="n">
        <v/>
      </c>
      <c r="F347" s="9" t="inlineStr">
        <is>
          <t>flat</t>
        </is>
      </c>
    </row>
    <row r="348">
      <c r="A348" s="9" t="n">
        <v>347</v>
      </c>
      <c r="B348" s="9" t="inlineStr">
        <is>
          <t>Sketch</t>
        </is>
      </c>
      <c r="C348" s="9" t="inlineStr">
        <is>
          <t>Standard</t>
        </is>
      </c>
      <c r="D348" s="9" t="n">
        <v>12</v>
      </c>
      <c r="E348" s="9" t="n">
        <v>144</v>
      </c>
      <c r="F348" s="9" t="inlineStr">
        <is>
          <t>flat</t>
        </is>
      </c>
    </row>
    <row r="349">
      <c r="A349" s="9" t="n">
        <v>348</v>
      </c>
      <c r="B349" s="9" t="inlineStr">
        <is>
          <t>Sketch</t>
        </is>
      </c>
      <c r="C349" s="9" t="inlineStr">
        <is>
          <t>Professional</t>
        </is>
      </c>
      <c r="D349" s="9" t="n">
        <v>25</v>
      </c>
      <c r="E349" s="9" t="n">
        <v>300</v>
      </c>
      <c r="F349" s="9" t="inlineStr">
        <is>
          <t>flat</t>
        </is>
      </c>
    </row>
    <row r="350">
      <c r="A350" s="9" t="n">
        <v>349</v>
      </c>
      <c r="B350" s="9" t="inlineStr">
        <is>
          <t>Sketch</t>
        </is>
      </c>
      <c r="C350" s="9" t="inlineStr">
        <is>
          <t>Enterprise</t>
        </is>
      </c>
      <c r="D350" s="9" t="n">
        <v>44</v>
      </c>
      <c r="E350" s="9" t="n">
        <v>528</v>
      </c>
      <c r="F350" s="9" t="inlineStr">
        <is>
          <t>flat</t>
        </is>
      </c>
    </row>
    <row r="351">
      <c r="A351" s="9" t="n">
        <v>350</v>
      </c>
      <c r="B351" s="9" t="inlineStr">
        <is>
          <t>InVision</t>
        </is>
      </c>
      <c r="C351" s="9" t="inlineStr">
        <is>
          <t>Free</t>
        </is>
      </c>
      <c r="D351" s="9" t="n">
        <v>0</v>
      </c>
      <c r="E351" s="9" t="n">
        <v/>
      </c>
      <c r="F351" s="9" t="inlineStr">
        <is>
          <t>flat</t>
        </is>
      </c>
    </row>
    <row r="352">
      <c r="A352" s="9" t="n">
        <v>351</v>
      </c>
      <c r="B352" s="9" t="inlineStr">
        <is>
          <t>Penpot</t>
        </is>
      </c>
      <c r="C352" s="9" t="inlineStr">
        <is>
          <t>Free (Self-hosted)</t>
        </is>
      </c>
      <c r="D352" s="9" t="n">
        <v>0</v>
      </c>
      <c r="E352" s="9" t="n">
        <v/>
      </c>
      <c r="F352" s="9" t="inlineStr">
        <is>
          <t>flat</t>
        </is>
      </c>
    </row>
    <row r="353">
      <c r="A353" s="9" t="n">
        <v>352</v>
      </c>
      <c r="B353" s="9" t="inlineStr">
        <is>
          <t>Penpot</t>
        </is>
      </c>
      <c r="C353" s="9" t="inlineStr">
        <is>
          <t>Free (Cloud)</t>
        </is>
      </c>
      <c r="D353" s="9" t="n">
        <v>0</v>
      </c>
      <c r="E353" s="9" t="n">
        <v/>
      </c>
      <c r="F353" s="9" t="inlineStr">
        <is>
          <t>flat</t>
        </is>
      </c>
    </row>
    <row r="354">
      <c r="A354" s="9" t="n">
        <v>353</v>
      </c>
      <c r="B354" s="9" t="inlineStr">
        <is>
          <t>Penpot</t>
        </is>
      </c>
      <c r="C354" s="9" t="inlineStr">
        <is>
          <t>Premium</t>
        </is>
      </c>
      <c r="D354" s="9" t="n">
        <v/>
      </c>
      <c r="E354" s="9" t="n">
        <v/>
      </c>
      <c r="F354" s="9" t="inlineStr">
        <is>
          <t>flat</t>
        </is>
      </c>
    </row>
    <row r="355">
      <c r="A355" s="9" t="n">
        <v>354</v>
      </c>
      <c r="B355" s="9" t="inlineStr">
        <is>
          <t>Affinity Designer</t>
        </is>
      </c>
      <c r="C355" s="9" t="inlineStr">
        <is>
          <t>Affinity Designer V2</t>
        </is>
      </c>
      <c r="D355" s="9" t="n">
        <v>69.98999999999999</v>
      </c>
      <c r="E355" s="9" t="n">
        <v/>
      </c>
      <c r="F355" s="9" t="inlineStr">
        <is>
          <t>flat</t>
        </is>
      </c>
    </row>
    <row r="356">
      <c r="A356" s="9" t="n">
        <v>355</v>
      </c>
      <c r="B356" s="9" t="inlineStr">
        <is>
          <t>Affinity Designer</t>
        </is>
      </c>
      <c r="C356" s="9" t="inlineStr">
        <is>
          <t>Affinity V2 Universal</t>
        </is>
      </c>
      <c r="D356" s="9" t="n">
        <v>169.99</v>
      </c>
      <c r="E356" s="9" t="n">
        <v/>
      </c>
      <c r="F356" s="9" t="inlineStr">
        <is>
          <t>flat</t>
        </is>
      </c>
    </row>
    <row r="357">
      <c r="A357" s="9" t="n">
        <v>356</v>
      </c>
      <c r="B357" s="9" t="inlineStr">
        <is>
          <t>Affinity Designer</t>
        </is>
      </c>
      <c r="C357" s="9" t="inlineStr">
        <is>
          <t>Canva Subscription</t>
        </is>
      </c>
      <c r="D357" s="9" t="n">
        <v>14.99</v>
      </c>
      <c r="E357" s="9" t="n">
        <v/>
      </c>
      <c r="F357" s="9" t="inlineStr">
        <is>
          <t>flat</t>
        </is>
      </c>
    </row>
    <row r="358">
      <c r="A358" s="9" t="n">
        <v>357</v>
      </c>
      <c r="B358" s="9" t="inlineStr">
        <is>
          <t>Adobe Illustrator</t>
        </is>
      </c>
      <c r="C358" s="9" t="inlineStr">
        <is>
          <t>Illustrator</t>
        </is>
      </c>
      <c r="D358" s="9" t="n">
        <v>22.99</v>
      </c>
      <c r="E358" s="9" t="n">
        <v/>
      </c>
      <c r="F358" s="9" t="inlineStr">
        <is>
          <t>flat</t>
        </is>
      </c>
    </row>
    <row r="359">
      <c r="A359" s="9" t="n">
        <v>358</v>
      </c>
      <c r="B359" s="9" t="inlineStr">
        <is>
          <t>Adobe Illustrator</t>
        </is>
      </c>
      <c r="C359" s="9" t="inlineStr">
        <is>
          <t>All Apps</t>
        </is>
      </c>
      <c r="D359" s="9" t="n">
        <v>59.99</v>
      </c>
      <c r="E359" s="9" t="n">
        <v/>
      </c>
      <c r="F359" s="9" t="inlineStr">
        <is>
          <t>flat</t>
        </is>
      </c>
    </row>
    <row r="360">
      <c r="A360" s="9" t="n">
        <v>359</v>
      </c>
      <c r="B360" s="9" t="inlineStr">
        <is>
          <t>Adobe Photoshop</t>
        </is>
      </c>
      <c r="C360" s="9" t="inlineStr">
        <is>
          <t>Photography Plan</t>
        </is>
      </c>
      <c r="D360" s="9" t="n">
        <v>9.99</v>
      </c>
      <c r="E360" s="9" t="n">
        <v/>
      </c>
      <c r="F360" s="9" t="inlineStr">
        <is>
          <t>flat</t>
        </is>
      </c>
    </row>
    <row r="361">
      <c r="A361" s="9" t="n">
        <v>360</v>
      </c>
      <c r="B361" s="9" t="inlineStr">
        <is>
          <t>Adobe Photoshop</t>
        </is>
      </c>
      <c r="C361" s="9" t="inlineStr">
        <is>
          <t>Photoshop</t>
        </is>
      </c>
      <c r="D361" s="9" t="n">
        <v>22.99</v>
      </c>
      <c r="E361" s="9" t="n">
        <v/>
      </c>
      <c r="F361" s="9" t="inlineStr">
        <is>
          <t>flat</t>
        </is>
      </c>
    </row>
    <row r="362">
      <c r="A362" s="9" t="n">
        <v>361</v>
      </c>
      <c r="B362" s="9" t="inlineStr">
        <is>
          <t>Adobe Photoshop</t>
        </is>
      </c>
      <c r="C362" s="9" t="inlineStr">
        <is>
          <t>All Apps</t>
        </is>
      </c>
      <c r="D362" s="9" t="n">
        <v>59.99</v>
      </c>
      <c r="E362" s="9" t="n">
        <v/>
      </c>
      <c r="F362" s="9" t="inlineStr">
        <is>
          <t>flat</t>
        </is>
      </c>
    </row>
    <row r="363">
      <c r="A363" s="9" t="n">
        <v>362</v>
      </c>
      <c r="B363" s="9" t="inlineStr">
        <is>
          <t>Lunacy</t>
        </is>
      </c>
      <c r="C363" s="9" t="inlineStr">
        <is>
          <t>Free</t>
        </is>
      </c>
      <c r="D363" s="9" t="n">
        <v>0</v>
      </c>
      <c r="E363" s="9" t="n">
        <v/>
      </c>
      <c r="F363" s="9" t="inlineStr">
        <is>
          <t>flat</t>
        </is>
      </c>
    </row>
    <row r="364">
      <c r="A364" s="9" t="n">
        <v>363</v>
      </c>
      <c r="B364" s="9" t="inlineStr">
        <is>
          <t>Lunacy</t>
        </is>
      </c>
      <c r="C364" s="9" t="inlineStr">
        <is>
          <t>Pro (Icons8)</t>
        </is>
      </c>
      <c r="D364" s="9" t="n">
        <v>14.99</v>
      </c>
      <c r="E364" s="9" t="n">
        <v/>
      </c>
      <c r="F364" s="9" t="inlineStr">
        <is>
          <t>flat</t>
        </is>
      </c>
    </row>
    <row r="365">
      <c r="A365" s="9" t="n">
        <v>364</v>
      </c>
      <c r="B365" s="9" t="inlineStr">
        <is>
          <t>Procreate</t>
        </is>
      </c>
      <c r="C365" s="9" t="inlineStr">
        <is>
          <t>Procreate (iPad)</t>
        </is>
      </c>
      <c r="D365" s="9" t="n">
        <v>12.99</v>
      </c>
      <c r="E365" s="9" t="n">
        <v/>
      </c>
      <c r="F365" s="9" t="inlineStr">
        <is>
          <t>flat</t>
        </is>
      </c>
    </row>
    <row r="366">
      <c r="A366" s="9" t="n">
        <v>365</v>
      </c>
      <c r="B366" s="9" t="inlineStr">
        <is>
          <t>Procreate</t>
        </is>
      </c>
      <c r="C366" s="9" t="inlineStr">
        <is>
          <t>Procreate Dreams</t>
        </is>
      </c>
      <c r="D366" s="9" t="n">
        <v>19.99</v>
      </c>
      <c r="E366" s="9" t="n">
        <v/>
      </c>
      <c r="F366" s="9" t="inlineStr">
        <is>
          <t>flat</t>
        </is>
      </c>
    </row>
    <row r="367">
      <c r="A367" s="9" t="n">
        <v>366</v>
      </c>
      <c r="B367" s="9" t="inlineStr">
        <is>
          <t>Pixlr</t>
        </is>
      </c>
      <c r="C367" s="9" t="inlineStr">
        <is>
          <t>Free</t>
        </is>
      </c>
      <c r="D367" s="9" t="n">
        <v>0</v>
      </c>
      <c r="E367" s="9" t="n">
        <v/>
      </c>
      <c r="F367" s="9" t="inlineStr">
        <is>
          <t>flat</t>
        </is>
      </c>
    </row>
    <row r="368">
      <c r="A368" s="9" t="n">
        <v>367</v>
      </c>
      <c r="B368" s="9" t="inlineStr">
        <is>
          <t>Pixlr</t>
        </is>
      </c>
      <c r="C368" s="9" t="inlineStr">
        <is>
          <t>Plus</t>
        </is>
      </c>
      <c r="D368" s="9" t="n">
        <v>1.99</v>
      </c>
      <c r="E368" s="9" t="n">
        <v/>
      </c>
      <c r="F368" s="9" t="inlineStr">
        <is>
          <t>flat</t>
        </is>
      </c>
    </row>
    <row r="369">
      <c r="A369" s="9" t="n">
        <v>368</v>
      </c>
      <c r="B369" s="9" t="inlineStr">
        <is>
          <t>Pixlr</t>
        </is>
      </c>
      <c r="C369" s="9" t="inlineStr">
        <is>
          <t>Premium</t>
        </is>
      </c>
      <c r="D369" s="9" t="n">
        <v>7.99</v>
      </c>
      <c r="E369" s="9" t="n">
        <v/>
      </c>
      <c r="F369" s="9" t="inlineStr">
        <is>
          <t>flat</t>
        </is>
      </c>
    </row>
    <row r="370">
      <c r="A370" s="9" t="n">
        <v>369</v>
      </c>
      <c r="B370" s="9" t="inlineStr">
        <is>
          <t>Pixlr</t>
        </is>
      </c>
      <c r="C370" s="9" t="inlineStr">
        <is>
          <t>Team</t>
        </is>
      </c>
      <c r="D370" s="9" t="n">
        <v>12.99</v>
      </c>
      <c r="E370" s="9" t="n">
        <v/>
      </c>
      <c r="F370" s="9" t="inlineStr">
        <is>
          <t>per-seat</t>
        </is>
      </c>
    </row>
    <row r="371">
      <c r="A371" s="9" t="n">
        <v>370</v>
      </c>
      <c r="B371" s="9" t="inlineStr">
        <is>
          <t>Framer</t>
        </is>
      </c>
      <c r="C371" s="9" t="inlineStr">
        <is>
          <t>Free</t>
        </is>
      </c>
      <c r="D371" s="9" t="n">
        <v>0</v>
      </c>
      <c r="E371" s="9" t="n">
        <v/>
      </c>
      <c r="F371" s="9" t="inlineStr">
        <is>
          <t>flat</t>
        </is>
      </c>
    </row>
    <row r="372">
      <c r="A372" s="9" t="n">
        <v>371</v>
      </c>
      <c r="B372" s="9" t="inlineStr">
        <is>
          <t>Framer</t>
        </is>
      </c>
      <c r="C372" s="9" t="inlineStr">
        <is>
          <t>Mini</t>
        </is>
      </c>
      <c r="D372" s="9" t="n">
        <v>5</v>
      </c>
      <c r="E372" s="9" t="n">
        <v/>
      </c>
      <c r="F372" s="9" t="inlineStr">
        <is>
          <t>flat</t>
        </is>
      </c>
    </row>
    <row r="373">
      <c r="A373" s="9" t="n">
        <v>372</v>
      </c>
      <c r="B373" s="9" t="inlineStr">
        <is>
          <t>Framer</t>
        </is>
      </c>
      <c r="C373" s="9" t="inlineStr">
        <is>
          <t>Basic</t>
        </is>
      </c>
      <c r="D373" s="9" t="n">
        <v>15</v>
      </c>
      <c r="E373" s="9" t="n">
        <v/>
      </c>
      <c r="F373" s="9" t="inlineStr">
        <is>
          <t>flat</t>
        </is>
      </c>
    </row>
    <row r="374">
      <c r="A374" s="9" t="n">
        <v>373</v>
      </c>
      <c r="B374" s="9" t="inlineStr">
        <is>
          <t>Framer</t>
        </is>
      </c>
      <c r="C374" s="9" t="inlineStr">
        <is>
          <t>Pro</t>
        </is>
      </c>
      <c r="D374" s="9" t="n">
        <v>30</v>
      </c>
      <c r="E374" s="9" t="n">
        <v/>
      </c>
      <c r="F374" s="9" t="inlineStr">
        <is>
          <t>flat</t>
        </is>
      </c>
    </row>
    <row r="375">
      <c r="A375" s="9" t="n">
        <v>374</v>
      </c>
      <c r="B375" s="9" t="inlineStr">
        <is>
          <t>Spline</t>
        </is>
      </c>
      <c r="C375" s="9" t="inlineStr">
        <is>
          <t>Free</t>
        </is>
      </c>
      <c r="D375" s="9" t="n">
        <v>0</v>
      </c>
      <c r="E375" s="9" t="n">
        <v/>
      </c>
      <c r="F375" s="9" t="inlineStr">
        <is>
          <t>flat</t>
        </is>
      </c>
    </row>
    <row r="376">
      <c r="A376" s="9" t="n">
        <v>375</v>
      </c>
      <c r="B376" s="9" t="inlineStr">
        <is>
          <t>Spline</t>
        </is>
      </c>
      <c r="C376" s="9" t="inlineStr">
        <is>
          <t>Starter</t>
        </is>
      </c>
      <c r="D376" s="9" t="n">
        <v>12</v>
      </c>
      <c r="E376" s="9" t="n">
        <v/>
      </c>
      <c r="F376" s="9" t="inlineStr">
        <is>
          <t>per-seat</t>
        </is>
      </c>
    </row>
    <row r="377">
      <c r="A377" s="9" t="n">
        <v>376</v>
      </c>
      <c r="B377" s="9" t="inlineStr">
        <is>
          <t>Spline</t>
        </is>
      </c>
      <c r="C377" s="9" t="inlineStr">
        <is>
          <t>Professional</t>
        </is>
      </c>
      <c r="D377" s="9" t="n">
        <v>20</v>
      </c>
      <c r="E377" s="9" t="n">
        <v/>
      </c>
      <c r="F377" s="9" t="inlineStr">
        <is>
          <t>per-seat</t>
        </is>
      </c>
    </row>
    <row r="378">
      <c r="A378" s="9" t="n">
        <v>377</v>
      </c>
      <c r="B378" s="9" t="inlineStr">
        <is>
          <t>Miro</t>
        </is>
      </c>
      <c r="C378" s="9" t="inlineStr">
        <is>
          <t>Free</t>
        </is>
      </c>
      <c r="D378" s="9" t="n">
        <v>0</v>
      </c>
      <c r="E378" s="9" t="n">
        <v/>
      </c>
      <c r="F378" s="9" t="inlineStr">
        <is>
          <t>flat</t>
        </is>
      </c>
    </row>
    <row r="379">
      <c r="A379" s="9" t="n">
        <v>378</v>
      </c>
      <c r="B379" s="9" t="inlineStr">
        <is>
          <t>Miro</t>
        </is>
      </c>
      <c r="C379" s="9" t="inlineStr">
        <is>
          <t>Starter</t>
        </is>
      </c>
      <c r="D379" s="9" t="n">
        <v>10</v>
      </c>
      <c r="E379" s="9" t="n">
        <v/>
      </c>
      <c r="F379" s="9" t="inlineStr">
        <is>
          <t>per-seat</t>
        </is>
      </c>
    </row>
    <row r="380">
      <c r="A380" s="9" t="n">
        <v>379</v>
      </c>
      <c r="B380" s="9" t="inlineStr">
        <is>
          <t>Miro</t>
        </is>
      </c>
      <c r="C380" s="9" t="inlineStr">
        <is>
          <t>Business</t>
        </is>
      </c>
      <c r="D380" s="9" t="n">
        <v>20</v>
      </c>
      <c r="E380" s="9" t="n">
        <v/>
      </c>
      <c r="F380" s="9" t="inlineStr">
        <is>
          <t>per-seat</t>
        </is>
      </c>
    </row>
    <row r="381">
      <c r="A381" s="9" t="n">
        <v>380</v>
      </c>
      <c r="B381" s="9" t="inlineStr">
        <is>
          <t>Miro</t>
        </is>
      </c>
      <c r="C381" s="9" t="inlineStr">
        <is>
          <t>Enterprise</t>
        </is>
      </c>
      <c r="D381" s="9" t="n">
        <v/>
      </c>
      <c r="E381" s="9" t="n">
        <v/>
      </c>
      <c r="F381" s="9" t="inlineStr">
        <is>
          <t>per-seat</t>
        </is>
      </c>
    </row>
    <row r="382">
      <c r="A382" s="9" t="n">
        <v>381</v>
      </c>
      <c r="B382" s="9" t="inlineStr">
        <is>
          <t>Whimsical</t>
        </is>
      </c>
      <c r="C382" s="9" t="inlineStr">
        <is>
          <t>Free</t>
        </is>
      </c>
      <c r="D382" s="9" t="n">
        <v>0</v>
      </c>
      <c r="E382" s="9" t="n">
        <v/>
      </c>
      <c r="F382" s="9" t="inlineStr">
        <is>
          <t>flat</t>
        </is>
      </c>
    </row>
    <row r="383">
      <c r="A383" s="9" t="n">
        <v>382</v>
      </c>
      <c r="B383" s="9" t="inlineStr">
        <is>
          <t>Whimsical</t>
        </is>
      </c>
      <c r="C383" s="9" t="inlineStr">
        <is>
          <t>Pro</t>
        </is>
      </c>
      <c r="D383" s="9" t="n">
        <v>12</v>
      </c>
      <c r="E383" s="9" t="n">
        <v/>
      </c>
      <c r="F383" s="9" t="inlineStr">
        <is>
          <t>per-seat</t>
        </is>
      </c>
    </row>
    <row r="384">
      <c r="A384" s="9" t="n">
        <v>383</v>
      </c>
      <c r="B384" s="9" t="inlineStr">
        <is>
          <t>Whimsical</t>
        </is>
      </c>
      <c r="C384" s="9" t="inlineStr">
        <is>
          <t>Organization</t>
        </is>
      </c>
      <c r="D384" s="9" t="n">
        <v>20</v>
      </c>
      <c r="E384" s="9" t="n">
        <v/>
      </c>
      <c r="F384" s="9" t="inlineStr">
        <is>
          <t>per-seat</t>
        </is>
      </c>
    </row>
    <row r="385">
      <c r="A385" s="9" t="n">
        <v>384</v>
      </c>
      <c r="B385" s="9" t="inlineStr">
        <is>
          <t>QuickBooks Online</t>
        </is>
      </c>
      <c r="C385" s="9" t="inlineStr">
        <is>
          <t>Simple Start</t>
        </is>
      </c>
      <c r="D385" s="9" t="n">
        <v>38</v>
      </c>
      <c r="E385" s="9" t="n">
        <v/>
      </c>
      <c r="F385" s="9" t="inlineStr">
        <is>
          <t>flat</t>
        </is>
      </c>
    </row>
    <row r="386">
      <c r="A386" s="9" t="n">
        <v>385</v>
      </c>
      <c r="B386" s="9" t="inlineStr">
        <is>
          <t>QuickBooks Online</t>
        </is>
      </c>
      <c r="C386" s="9" t="inlineStr">
        <is>
          <t>Essentials</t>
        </is>
      </c>
      <c r="D386" s="9" t="n">
        <v>75</v>
      </c>
      <c r="E386" s="9" t="n">
        <v/>
      </c>
      <c r="F386" s="9" t="inlineStr">
        <is>
          <t>flat</t>
        </is>
      </c>
    </row>
    <row r="387">
      <c r="A387" s="9" t="n">
        <v>386</v>
      </c>
      <c r="B387" s="9" t="inlineStr">
        <is>
          <t>QuickBooks Online</t>
        </is>
      </c>
      <c r="C387" s="9" t="inlineStr">
        <is>
          <t>Plus</t>
        </is>
      </c>
      <c r="D387" s="9" t="n">
        <v>115</v>
      </c>
      <c r="E387" s="9" t="n">
        <v/>
      </c>
      <c r="F387" s="9" t="inlineStr">
        <is>
          <t>flat</t>
        </is>
      </c>
    </row>
    <row r="388">
      <c r="A388" s="9" t="n">
        <v>387</v>
      </c>
      <c r="B388" s="9" t="inlineStr">
        <is>
          <t>QuickBooks Online</t>
        </is>
      </c>
      <c r="C388" s="9" t="inlineStr">
        <is>
          <t>Advanced</t>
        </is>
      </c>
      <c r="D388" s="9" t="n">
        <v>275</v>
      </c>
      <c r="E388" s="9" t="n">
        <v/>
      </c>
      <c r="F388" s="9" t="inlineStr">
        <is>
          <t>flat</t>
        </is>
      </c>
    </row>
    <row r="389">
      <c r="A389" s="9" t="n">
        <v>388</v>
      </c>
      <c r="B389" s="9" t="inlineStr">
        <is>
          <t>Xero</t>
        </is>
      </c>
      <c r="C389" s="9" t="inlineStr">
        <is>
          <t>Early</t>
        </is>
      </c>
      <c r="D389" s="9" t="n">
        <v>25</v>
      </c>
      <c r="E389" s="9" t="n">
        <v/>
      </c>
      <c r="F389" s="9" t="inlineStr">
        <is>
          <t>flat</t>
        </is>
      </c>
    </row>
    <row r="390">
      <c r="A390" s="9" t="n">
        <v>389</v>
      </c>
      <c r="B390" s="9" t="inlineStr">
        <is>
          <t>Xero</t>
        </is>
      </c>
      <c r="C390" s="9" t="inlineStr">
        <is>
          <t>Growing</t>
        </is>
      </c>
      <c r="D390" s="9" t="n">
        <v>55</v>
      </c>
      <c r="E390" s="9" t="n">
        <v/>
      </c>
      <c r="F390" s="9" t="inlineStr">
        <is>
          <t>flat</t>
        </is>
      </c>
    </row>
    <row r="391">
      <c r="A391" s="9" t="n">
        <v>390</v>
      </c>
      <c r="B391" s="9" t="inlineStr">
        <is>
          <t>Xero</t>
        </is>
      </c>
      <c r="C391" s="9" t="inlineStr">
        <is>
          <t>Established</t>
        </is>
      </c>
      <c r="D391" s="9" t="n">
        <v>90</v>
      </c>
      <c r="E391" s="9" t="n">
        <v/>
      </c>
      <c r="F391" s="9" t="inlineStr">
        <is>
          <t>flat</t>
        </is>
      </c>
    </row>
    <row r="392">
      <c r="A392" s="9" t="n">
        <v>391</v>
      </c>
      <c r="B392" s="9" t="inlineStr">
        <is>
          <t>FreshBooks</t>
        </is>
      </c>
      <c r="C392" s="9" t="inlineStr">
        <is>
          <t>Lite</t>
        </is>
      </c>
      <c r="D392" s="9" t="n">
        <v>23</v>
      </c>
      <c r="E392" s="9" t="n">
        <v/>
      </c>
      <c r="F392" s="9" t="inlineStr">
        <is>
          <t>flat</t>
        </is>
      </c>
    </row>
    <row r="393">
      <c r="A393" s="9" t="n">
        <v>392</v>
      </c>
      <c r="B393" s="9" t="inlineStr">
        <is>
          <t>FreshBooks</t>
        </is>
      </c>
      <c r="C393" s="9" t="inlineStr">
        <is>
          <t>Plus</t>
        </is>
      </c>
      <c r="D393" s="9" t="n">
        <v>40</v>
      </c>
      <c r="E393" s="9" t="n">
        <v/>
      </c>
      <c r="F393" s="9" t="inlineStr">
        <is>
          <t>flat</t>
        </is>
      </c>
    </row>
    <row r="394">
      <c r="A394" s="9" t="n">
        <v>393</v>
      </c>
      <c r="B394" s="9" t="inlineStr">
        <is>
          <t>FreshBooks</t>
        </is>
      </c>
      <c r="C394" s="9" t="inlineStr">
        <is>
          <t>Premium</t>
        </is>
      </c>
      <c r="D394" s="9" t="n">
        <v>76</v>
      </c>
      <c r="E394" s="9" t="n">
        <v/>
      </c>
      <c r="F394" s="9" t="inlineStr">
        <is>
          <t>flat</t>
        </is>
      </c>
    </row>
    <row r="395">
      <c r="A395" s="9" t="n">
        <v>394</v>
      </c>
      <c r="B395" s="9" t="inlineStr">
        <is>
          <t>FreshBooks</t>
        </is>
      </c>
      <c r="C395" s="9" t="inlineStr">
        <is>
          <t>Select</t>
        </is>
      </c>
      <c r="D395" s="9" t="n">
        <v/>
      </c>
      <c r="E395" s="9" t="n">
        <v/>
      </c>
      <c r="F395" s="9" t="inlineStr">
        <is>
          <t>flat</t>
        </is>
      </c>
    </row>
    <row r="396">
      <c r="A396" s="9" t="n">
        <v>395</v>
      </c>
      <c r="B396" s="9" t="inlineStr">
        <is>
          <t>Wave</t>
        </is>
      </c>
      <c r="C396" s="9" t="inlineStr">
        <is>
          <t>Free (Accounting)</t>
        </is>
      </c>
      <c r="D396" s="9" t="n">
        <v>0</v>
      </c>
      <c r="E396" s="9" t="n">
        <v/>
      </c>
      <c r="F396" s="9" t="inlineStr">
        <is>
          <t>flat</t>
        </is>
      </c>
    </row>
    <row r="397">
      <c r="A397" s="9" t="n">
        <v>396</v>
      </c>
      <c r="B397" s="9" t="inlineStr">
        <is>
          <t>Wave</t>
        </is>
      </c>
      <c r="C397" s="9" t="inlineStr">
        <is>
          <t>Pro (Accounting)</t>
        </is>
      </c>
      <c r="D397" s="9" t="n">
        <v>16</v>
      </c>
      <c r="E397" s="9" t="n">
        <v/>
      </c>
      <c r="F397" s="9" t="inlineStr">
        <is>
          <t>flat</t>
        </is>
      </c>
    </row>
    <row r="398">
      <c r="A398" s="9" t="n">
        <v>397</v>
      </c>
      <c r="B398" s="9" t="inlineStr">
        <is>
          <t>Wave</t>
        </is>
      </c>
      <c r="C398" s="9" t="inlineStr">
        <is>
          <t>Payroll</t>
        </is>
      </c>
      <c r="D398" s="9" t="n">
        <v>20</v>
      </c>
      <c r="E398" s="9" t="n">
        <v/>
      </c>
      <c r="F398" s="9" t="inlineStr">
        <is>
          <t>flat</t>
        </is>
      </c>
    </row>
    <row r="399">
      <c r="A399" s="9" t="n">
        <v>398</v>
      </c>
      <c r="B399" s="9" t="inlineStr">
        <is>
          <t>Wave</t>
        </is>
      </c>
      <c r="C399" s="9" t="inlineStr">
        <is>
          <t>Advisors</t>
        </is>
      </c>
      <c r="D399" s="9" t="n">
        <v>149</v>
      </c>
      <c r="E399" s="9" t="n">
        <v/>
      </c>
      <c r="F399" s="9" t="inlineStr">
        <is>
          <t>flat</t>
        </is>
      </c>
    </row>
    <row r="400">
      <c r="A400" s="9" t="n">
        <v>399</v>
      </c>
      <c r="B400" s="9" t="inlineStr">
        <is>
          <t>Zoho Books</t>
        </is>
      </c>
      <c r="C400" s="9" t="inlineStr">
        <is>
          <t>Free</t>
        </is>
      </c>
      <c r="D400" s="9" t="n">
        <v>0</v>
      </c>
      <c r="E400" s="9" t="n">
        <v/>
      </c>
      <c r="F400" s="9" t="inlineStr">
        <is>
          <t>flat</t>
        </is>
      </c>
    </row>
    <row r="401">
      <c r="A401" s="9" t="n">
        <v>400</v>
      </c>
      <c r="B401" s="9" t="inlineStr">
        <is>
          <t>Zoho Books</t>
        </is>
      </c>
      <c r="C401" s="9" t="inlineStr">
        <is>
          <t>Standard</t>
        </is>
      </c>
      <c r="D401" s="9" t="n">
        <v>20</v>
      </c>
      <c r="E401" s="9" t="n">
        <v/>
      </c>
      <c r="F401" s="9" t="inlineStr">
        <is>
          <t>per-project</t>
        </is>
      </c>
    </row>
    <row r="402">
      <c r="A402" s="9" t="n">
        <v>401</v>
      </c>
      <c r="B402" s="9" t="inlineStr">
        <is>
          <t>Zoho Books</t>
        </is>
      </c>
      <c r="C402" s="9" t="inlineStr">
        <is>
          <t>Professional</t>
        </is>
      </c>
      <c r="D402" s="9" t="n">
        <v>50</v>
      </c>
      <c r="E402" s="9" t="n">
        <v/>
      </c>
      <c r="F402" s="9" t="inlineStr">
        <is>
          <t>per-project</t>
        </is>
      </c>
    </row>
    <row r="403">
      <c r="A403" s="9" t="n">
        <v>402</v>
      </c>
      <c r="B403" s="9" t="inlineStr">
        <is>
          <t>Zoho Books</t>
        </is>
      </c>
      <c r="C403" s="9" t="inlineStr">
        <is>
          <t>Premium</t>
        </is>
      </c>
      <c r="D403" s="9" t="n">
        <v>70</v>
      </c>
      <c r="E403" s="9" t="n">
        <v/>
      </c>
      <c r="F403" s="9" t="inlineStr">
        <is>
          <t>per-project</t>
        </is>
      </c>
    </row>
    <row r="404">
      <c r="A404" s="9" t="n">
        <v>403</v>
      </c>
      <c r="B404" s="9" t="inlineStr">
        <is>
          <t>Zoho Books</t>
        </is>
      </c>
      <c r="C404" s="9" t="inlineStr">
        <is>
          <t>Elite</t>
        </is>
      </c>
      <c r="D404" s="9" t="n">
        <v>150</v>
      </c>
      <c r="E404" s="9" t="n">
        <v/>
      </c>
      <c r="F404" s="9" t="inlineStr">
        <is>
          <t>per-project</t>
        </is>
      </c>
    </row>
    <row r="405">
      <c r="A405" s="9" t="n">
        <v>404</v>
      </c>
      <c r="B405" s="9" t="inlineStr">
        <is>
          <t>Sage Business Cloud Accounting</t>
        </is>
      </c>
      <c r="C405" s="9" t="inlineStr">
        <is>
          <t>Sage Accounting Start</t>
        </is>
      </c>
      <c r="D405" s="9" t="n">
        <v>10</v>
      </c>
      <c r="E405" s="9" t="n">
        <v/>
      </c>
      <c r="F405" s="9" t="inlineStr">
        <is>
          <t>flat</t>
        </is>
      </c>
    </row>
    <row r="406">
      <c r="A406" s="9" t="n">
        <v>405</v>
      </c>
      <c r="B406" s="9" t="inlineStr">
        <is>
          <t>Sage Business Cloud Accounting</t>
        </is>
      </c>
      <c r="C406" s="9" t="inlineStr">
        <is>
          <t>Sage Accounting</t>
        </is>
      </c>
      <c r="D406" s="9" t="n">
        <v>25</v>
      </c>
      <c r="E406" s="9" t="n">
        <v/>
      </c>
      <c r="F406" s="9" t="inlineStr">
        <is>
          <t>flat</t>
        </is>
      </c>
    </row>
    <row r="407">
      <c r="A407" s="9" t="n">
        <v>406</v>
      </c>
      <c r="B407" s="9" t="inlineStr">
        <is>
          <t>Sage Business Cloud Accounting</t>
        </is>
      </c>
      <c r="C407" s="9" t="inlineStr">
        <is>
          <t>Sage Intacct</t>
        </is>
      </c>
      <c r="D407" s="9" t="n">
        <v/>
      </c>
      <c r="E407" s="9" t="n">
        <v/>
      </c>
      <c r="F407" s="9" t="inlineStr">
        <is>
          <t>flat</t>
        </is>
      </c>
    </row>
    <row r="408">
      <c r="A408" s="9" t="n">
        <v>407</v>
      </c>
      <c r="B408" s="9" t="inlineStr">
        <is>
          <t>Kashoo</t>
        </is>
      </c>
      <c r="C408" s="9" t="inlineStr">
        <is>
          <t>Kashoo</t>
        </is>
      </c>
      <c r="D408" s="9" t="n">
        <v>30</v>
      </c>
      <c r="E408" s="9" t="n">
        <v/>
      </c>
      <c r="F408" s="9" t="inlineStr">
        <is>
          <t>flat</t>
        </is>
      </c>
    </row>
    <row r="409">
      <c r="A409" s="9" t="n">
        <v>408</v>
      </c>
      <c r="B409" s="9" t="inlineStr">
        <is>
          <t>Bench</t>
        </is>
      </c>
      <c r="C409" s="9" t="inlineStr">
        <is>
          <t>Bookkeeping Grow</t>
        </is>
      </c>
      <c r="D409" s="9" t="n">
        <v>189</v>
      </c>
      <c r="E409" s="9" t="n">
        <v/>
      </c>
      <c r="F409" s="9" t="inlineStr">
        <is>
          <t>flat</t>
        </is>
      </c>
    </row>
    <row r="410">
      <c r="A410" s="9" t="n">
        <v>409</v>
      </c>
      <c r="B410" s="9" t="inlineStr">
        <is>
          <t>Bench</t>
        </is>
      </c>
      <c r="C410" s="9" t="inlineStr">
        <is>
          <t>Bookkeeping Premium</t>
        </is>
      </c>
      <c r="D410" s="9" t="n">
        <v>339</v>
      </c>
      <c r="E410" s="9" t="n">
        <v/>
      </c>
      <c r="F410" s="9" t="inlineStr">
        <is>
          <t>flat</t>
        </is>
      </c>
    </row>
    <row r="411">
      <c r="A411" s="9" t="n">
        <v>410</v>
      </c>
      <c r="B411" s="9" t="inlineStr">
        <is>
          <t>FreeAgent</t>
        </is>
      </c>
      <c r="C411" s="9" t="inlineStr">
        <is>
          <t>FreeAgent</t>
        </is>
      </c>
      <c r="D411" s="9" t="n">
        <v>19</v>
      </c>
      <c r="E411" s="9" t="n">
        <v/>
      </c>
      <c r="F411" s="9" t="inlineStr">
        <is>
          <t>flat</t>
        </is>
      </c>
    </row>
    <row r="412">
      <c r="A412" s="9" t="n">
        <v>411</v>
      </c>
      <c r="B412" s="9" t="inlineStr">
        <is>
          <t>Bonsai</t>
        </is>
      </c>
      <c r="C412" s="9" t="inlineStr">
        <is>
          <t>Basic</t>
        </is>
      </c>
      <c r="D412" s="9" t="n">
        <v>9</v>
      </c>
      <c r="E412" s="9" t="n">
        <v>108</v>
      </c>
      <c r="F412" s="9" t="inlineStr">
        <is>
          <t>per-seat</t>
        </is>
      </c>
    </row>
    <row r="413">
      <c r="A413" s="9" t="n">
        <v>412</v>
      </c>
      <c r="B413" s="9" t="inlineStr">
        <is>
          <t>Bonsai</t>
        </is>
      </c>
      <c r="C413" s="9" t="inlineStr">
        <is>
          <t>Essentials</t>
        </is>
      </c>
      <c r="D413" s="9" t="n">
        <v>19</v>
      </c>
      <c r="E413" s="9" t="n">
        <v>228</v>
      </c>
      <c r="F413" s="9" t="inlineStr">
        <is>
          <t>per-seat</t>
        </is>
      </c>
    </row>
    <row r="414">
      <c r="A414" s="9" t="n">
        <v>413</v>
      </c>
      <c r="B414" s="9" t="inlineStr">
        <is>
          <t>Bonsai</t>
        </is>
      </c>
      <c r="C414" s="9" t="inlineStr">
        <is>
          <t>Premium</t>
        </is>
      </c>
      <c r="D414" s="9" t="n">
        <v>29</v>
      </c>
      <c r="E414" s="9" t="n">
        <v>348</v>
      </c>
      <c r="F414" s="9" t="inlineStr">
        <is>
          <t>per-seat</t>
        </is>
      </c>
    </row>
    <row r="415">
      <c r="A415" s="9" t="n">
        <v>414</v>
      </c>
      <c r="B415" s="9" t="inlineStr">
        <is>
          <t>Harvest</t>
        </is>
      </c>
      <c r="C415" s="9" t="inlineStr">
        <is>
          <t>Free</t>
        </is>
      </c>
      <c r="D415" s="9" t="n">
        <v>0</v>
      </c>
      <c r="E415" s="9" t="n">
        <v/>
      </c>
      <c r="F415" s="9" t="inlineStr">
        <is>
          <t>flat</t>
        </is>
      </c>
    </row>
    <row r="416">
      <c r="A416" s="9" t="n">
        <v>415</v>
      </c>
      <c r="B416" s="9" t="inlineStr">
        <is>
          <t>Harvest</t>
        </is>
      </c>
      <c r="C416" s="9" t="inlineStr">
        <is>
          <t>Pro</t>
        </is>
      </c>
      <c r="D416" s="9" t="n">
        <v>10.8</v>
      </c>
      <c r="E416" s="9" t="n">
        <v/>
      </c>
      <c r="F416" s="9" t="inlineStr">
        <is>
          <t>per-seat</t>
        </is>
      </c>
    </row>
    <row r="417">
      <c r="A417" s="9" t="n">
        <v>416</v>
      </c>
      <c r="B417" s="9" t="inlineStr">
        <is>
          <t>Akaunting</t>
        </is>
      </c>
      <c r="C417" s="9" t="inlineStr">
        <is>
          <t>Free (Self-hosted)</t>
        </is>
      </c>
      <c r="D417" s="9" t="n">
        <v>0</v>
      </c>
      <c r="E417" s="9" t="n">
        <v/>
      </c>
      <c r="F417" s="9" t="inlineStr">
        <is>
          <t>flat</t>
        </is>
      </c>
    </row>
    <row r="418">
      <c r="A418" s="9" t="n">
        <v>417</v>
      </c>
      <c r="B418" s="9" t="inlineStr">
        <is>
          <t>Akaunting</t>
        </is>
      </c>
      <c r="C418" s="9" t="inlineStr">
        <is>
          <t>Cloud Hosting</t>
        </is>
      </c>
      <c r="D418" s="9" t="n">
        <v>15</v>
      </c>
      <c r="E418" s="9" t="n">
        <v/>
      </c>
      <c r="F418" s="9" t="inlineStr">
        <is>
          <t>flat</t>
        </is>
      </c>
    </row>
    <row r="419">
      <c r="A419" s="9" t="n">
        <v>418</v>
      </c>
      <c r="B419" s="9" t="inlineStr">
        <is>
          <t>Manager.io</t>
        </is>
      </c>
      <c r="C419" s="9" t="inlineStr">
        <is>
          <t>Desktop</t>
        </is>
      </c>
      <c r="D419" s="9" t="n">
        <v>0</v>
      </c>
      <c r="E419" s="9" t="n">
        <v/>
      </c>
      <c r="F419" s="9" t="inlineStr">
        <is>
          <t>flat</t>
        </is>
      </c>
    </row>
    <row r="420">
      <c r="A420" s="9" t="n">
        <v>419</v>
      </c>
      <c r="B420" s="9" t="inlineStr">
        <is>
          <t>Manager.io</t>
        </is>
      </c>
      <c r="C420" s="9" t="inlineStr">
        <is>
          <t>Server</t>
        </is>
      </c>
      <c r="D420" s="9" t="n">
        <v>100</v>
      </c>
      <c r="E420" s="9" t="n">
        <v>1200</v>
      </c>
      <c r="F420" s="9" t="inlineStr">
        <is>
          <t>flat</t>
        </is>
      </c>
    </row>
    <row r="421">
      <c r="A421" s="9" t="n">
        <v>420</v>
      </c>
      <c r="B421" s="9" t="inlineStr">
        <is>
          <t>Manager.io</t>
        </is>
      </c>
      <c r="C421" s="9" t="inlineStr">
        <is>
          <t>Cloud</t>
        </is>
      </c>
      <c r="D421" s="9" t="n">
        <v>50</v>
      </c>
      <c r="E421" s="9" t="n">
        <v>600</v>
      </c>
      <c r="F421" s="9" t="inlineStr">
        <is>
          <t>flat</t>
        </is>
      </c>
    </row>
    <row r="422">
      <c r="A422" s="9" t="n">
        <v>421</v>
      </c>
      <c r="B422" s="9" t="inlineStr">
        <is>
          <t>Hurdlr</t>
        </is>
      </c>
      <c r="C422" s="9" t="inlineStr">
        <is>
          <t>Free</t>
        </is>
      </c>
      <c r="D422" s="9" t="n">
        <v>0</v>
      </c>
      <c r="E422" s="9" t="n">
        <v/>
      </c>
      <c r="F422" s="9" t="inlineStr">
        <is>
          <t>flat</t>
        </is>
      </c>
    </row>
    <row r="423">
      <c r="A423" s="9" t="n">
        <v>422</v>
      </c>
      <c r="B423" s="9" t="inlineStr">
        <is>
          <t>Hurdlr</t>
        </is>
      </c>
      <c r="C423" s="9" t="inlineStr">
        <is>
          <t>Premium</t>
        </is>
      </c>
      <c r="D423" s="9" t="n">
        <v>10</v>
      </c>
      <c r="E423" s="9" t="n">
        <v/>
      </c>
      <c r="F423" s="9" t="inlineStr">
        <is>
          <t>flat</t>
        </is>
      </c>
    </row>
    <row r="424">
      <c r="A424" s="9" t="n">
        <v>423</v>
      </c>
      <c r="B424" s="9" t="inlineStr">
        <is>
          <t>Hurdlr</t>
        </is>
      </c>
      <c r="C424" s="9" t="inlineStr">
        <is>
          <t>Pro</t>
        </is>
      </c>
      <c r="D424" s="9" t="n">
        <v>16.67</v>
      </c>
      <c r="E424" s="9" t="n">
        <v/>
      </c>
      <c r="F424" s="9" t="inlineStr">
        <is>
          <t>flat</t>
        </is>
      </c>
    </row>
    <row r="425">
      <c r="A425" s="9" t="n">
        <v>424</v>
      </c>
      <c r="B425" s="9" t="inlineStr">
        <is>
          <t>Patriot Software</t>
        </is>
      </c>
      <c r="C425" s="9" t="inlineStr">
        <is>
          <t>Accounting Basic</t>
        </is>
      </c>
      <c r="D425" s="9" t="n">
        <v>20</v>
      </c>
      <c r="E425" s="9" t="n">
        <v/>
      </c>
      <c r="F425" s="9" t="inlineStr">
        <is>
          <t>flat</t>
        </is>
      </c>
    </row>
    <row r="426">
      <c r="A426" s="9" t="n">
        <v>425</v>
      </c>
      <c r="B426" s="9" t="inlineStr">
        <is>
          <t>Patriot Software</t>
        </is>
      </c>
      <c r="C426" s="9" t="inlineStr">
        <is>
          <t>Accounting Premium</t>
        </is>
      </c>
      <c r="D426" s="9" t="n">
        <v>30</v>
      </c>
      <c r="E426" s="9" t="n">
        <v/>
      </c>
      <c r="F426" s="9" t="inlineStr">
        <is>
          <t>flat</t>
        </is>
      </c>
    </row>
    <row r="427">
      <c r="A427" s="9" t="n">
        <v>426</v>
      </c>
      <c r="B427" s="9" t="inlineStr">
        <is>
          <t>Patriot Software</t>
        </is>
      </c>
      <c r="C427" s="9" t="inlineStr">
        <is>
          <t>Payroll Basic</t>
        </is>
      </c>
      <c r="D427" s="9" t="n">
        <v>17</v>
      </c>
      <c r="E427" s="9" t="n">
        <v/>
      </c>
      <c r="F427" s="9" t="inlineStr">
        <is>
          <t>flat</t>
        </is>
      </c>
    </row>
    <row r="428">
      <c r="A428" s="9" t="n">
        <v>427</v>
      </c>
      <c r="B428" s="9" t="inlineStr">
        <is>
          <t>Patriot Software</t>
        </is>
      </c>
      <c r="C428" s="9" t="inlineStr">
        <is>
          <t>Payroll Full Service</t>
        </is>
      </c>
      <c r="D428" s="9" t="n">
        <v>37</v>
      </c>
      <c r="E428" s="9" t="n">
        <v/>
      </c>
      <c r="F428" s="9" t="inlineStr">
        <is>
          <t>flat</t>
        </is>
      </c>
    </row>
    <row r="429">
      <c r="A429" s="9" t="n">
        <v>428</v>
      </c>
      <c r="B429" s="9" t="inlineStr">
        <is>
          <t>Zoom</t>
        </is>
      </c>
      <c r="C429" s="9" t="inlineStr">
        <is>
          <t>Basic</t>
        </is>
      </c>
      <c r="D429" s="9" t="n">
        <v>0</v>
      </c>
      <c r="E429" s="9" t="n">
        <v/>
      </c>
      <c r="F429" s="9" t="inlineStr">
        <is>
          <t>flat</t>
        </is>
      </c>
    </row>
    <row r="430">
      <c r="A430" s="9" t="n">
        <v>429</v>
      </c>
      <c r="B430" s="9" t="inlineStr">
        <is>
          <t>Zoom</t>
        </is>
      </c>
      <c r="C430" s="9" t="inlineStr">
        <is>
          <t>Pro</t>
        </is>
      </c>
      <c r="D430" s="9" t="n">
        <v>13.33</v>
      </c>
      <c r="E430" s="9" t="n">
        <v/>
      </c>
      <c r="F430" s="9" t="inlineStr">
        <is>
          <t>per-seat</t>
        </is>
      </c>
    </row>
    <row r="431">
      <c r="A431" s="9" t="n">
        <v>430</v>
      </c>
      <c r="B431" s="9" t="inlineStr">
        <is>
          <t>Zoom</t>
        </is>
      </c>
      <c r="C431" s="9" t="inlineStr">
        <is>
          <t>Business</t>
        </is>
      </c>
      <c r="D431" s="9" t="n">
        <v>18.33</v>
      </c>
      <c r="E431" s="9" t="n">
        <v/>
      </c>
      <c r="F431" s="9" t="inlineStr">
        <is>
          <t>per-seat</t>
        </is>
      </c>
    </row>
    <row r="432">
      <c r="A432" s="9" t="n">
        <v>431</v>
      </c>
      <c r="B432" s="9" t="inlineStr">
        <is>
          <t>Zoom</t>
        </is>
      </c>
      <c r="C432" s="9" t="inlineStr">
        <is>
          <t>Enterprise</t>
        </is>
      </c>
      <c r="D432" s="9" t="n">
        <v>22.49</v>
      </c>
      <c r="E432" s="9" t="n">
        <v/>
      </c>
      <c r="F432" s="9" t="inlineStr">
        <is>
          <t>per-seat</t>
        </is>
      </c>
    </row>
    <row r="433">
      <c r="A433" s="9" t="n">
        <v>432</v>
      </c>
      <c r="B433" s="9" t="inlineStr">
        <is>
          <t>Google Meet</t>
        </is>
      </c>
      <c r="C433" s="9" t="inlineStr">
        <is>
          <t>Free</t>
        </is>
      </c>
      <c r="D433" s="9" t="n">
        <v>0</v>
      </c>
      <c r="E433" s="9" t="n">
        <v/>
      </c>
      <c r="F433" s="9" t="inlineStr">
        <is>
          <t>flat</t>
        </is>
      </c>
    </row>
    <row r="434">
      <c r="A434" s="9" t="n">
        <v>433</v>
      </c>
      <c r="B434" s="9" t="inlineStr">
        <is>
          <t>Google Meet</t>
        </is>
      </c>
      <c r="C434" s="9" t="inlineStr">
        <is>
          <t>Business Starter</t>
        </is>
      </c>
      <c r="D434" s="9" t="n">
        <v>7.2</v>
      </c>
      <c r="E434" s="9" t="n">
        <v/>
      </c>
      <c r="F434" s="9" t="inlineStr">
        <is>
          <t>per-seat</t>
        </is>
      </c>
    </row>
    <row r="435">
      <c r="A435" s="9" t="n">
        <v>434</v>
      </c>
      <c r="B435" s="9" t="inlineStr">
        <is>
          <t>Google Meet</t>
        </is>
      </c>
      <c r="C435" s="9" t="inlineStr">
        <is>
          <t>Business Standard</t>
        </is>
      </c>
      <c r="D435" s="9" t="n">
        <v>14.4</v>
      </c>
      <c r="E435" s="9" t="n">
        <v/>
      </c>
      <c r="F435" s="9" t="inlineStr">
        <is>
          <t>per-seat</t>
        </is>
      </c>
    </row>
    <row r="436">
      <c r="A436" s="9" t="n">
        <v>435</v>
      </c>
      <c r="B436" s="9" t="inlineStr">
        <is>
          <t>Google Meet</t>
        </is>
      </c>
      <c r="C436" s="9" t="inlineStr">
        <is>
          <t>Business Plus</t>
        </is>
      </c>
      <c r="D436" s="9" t="n">
        <v>21.6</v>
      </c>
      <c r="E436" s="9" t="n">
        <v/>
      </c>
      <c r="F436" s="9" t="inlineStr">
        <is>
          <t>per-seat</t>
        </is>
      </c>
    </row>
    <row r="437">
      <c r="A437" s="9" t="n">
        <v>436</v>
      </c>
      <c r="B437" s="9" t="inlineStr">
        <is>
          <t>Microsoft Teams</t>
        </is>
      </c>
      <c r="C437" s="9" t="inlineStr">
        <is>
          <t>Free</t>
        </is>
      </c>
      <c r="D437" s="9" t="n">
        <v>0</v>
      </c>
      <c r="E437" s="9" t="n">
        <v/>
      </c>
      <c r="F437" s="9" t="inlineStr">
        <is>
          <t>flat</t>
        </is>
      </c>
    </row>
    <row r="438">
      <c r="A438" s="9" t="n">
        <v>437</v>
      </c>
      <c r="B438" s="9" t="inlineStr">
        <is>
          <t>Microsoft Teams</t>
        </is>
      </c>
      <c r="C438" s="9" t="inlineStr">
        <is>
          <t>Microsoft Teams Essentials</t>
        </is>
      </c>
      <c r="D438" s="9" t="n">
        <v>4</v>
      </c>
      <c r="E438" s="9" t="n">
        <v/>
      </c>
      <c r="F438" s="9" t="inlineStr">
        <is>
          <t>per-seat</t>
        </is>
      </c>
    </row>
    <row r="439">
      <c r="A439" s="9" t="n">
        <v>438</v>
      </c>
      <c r="B439" s="9" t="inlineStr">
        <is>
          <t>Microsoft Teams</t>
        </is>
      </c>
      <c r="C439" s="9" t="inlineStr">
        <is>
          <t>Microsoft 365 Business Basic</t>
        </is>
      </c>
      <c r="D439" s="9" t="n">
        <v>6</v>
      </c>
      <c r="E439" s="9" t="n">
        <v/>
      </c>
      <c r="F439" s="9" t="inlineStr">
        <is>
          <t>per-seat</t>
        </is>
      </c>
    </row>
    <row r="440">
      <c r="A440" s="9" t="n">
        <v>439</v>
      </c>
      <c r="B440" s="9" t="inlineStr">
        <is>
          <t>Microsoft Teams</t>
        </is>
      </c>
      <c r="C440" s="9" t="inlineStr">
        <is>
          <t>Microsoft 365 Business Standard</t>
        </is>
      </c>
      <c r="D440" s="9" t="n">
        <v>12.5</v>
      </c>
      <c r="E440" s="9" t="n">
        <v/>
      </c>
      <c r="F440" s="9" t="inlineStr">
        <is>
          <t>per-seat</t>
        </is>
      </c>
    </row>
    <row r="441">
      <c r="A441" s="9" t="n">
        <v>440</v>
      </c>
      <c r="B441" s="9" t="inlineStr">
        <is>
          <t>Whereby</t>
        </is>
      </c>
      <c r="C441" s="9" t="inlineStr">
        <is>
          <t>Free</t>
        </is>
      </c>
      <c r="D441" s="9" t="n">
        <v>0</v>
      </c>
      <c r="E441" s="9" t="n">
        <v/>
      </c>
      <c r="F441" s="9" t="inlineStr">
        <is>
          <t>flat</t>
        </is>
      </c>
    </row>
    <row r="442">
      <c r="A442" s="9" t="n">
        <v>441</v>
      </c>
      <c r="B442" s="9" t="inlineStr">
        <is>
          <t>Whereby</t>
        </is>
      </c>
      <c r="C442" s="9" t="inlineStr">
        <is>
          <t>Pro</t>
        </is>
      </c>
      <c r="D442" s="9" t="n">
        <v>8.99</v>
      </c>
      <c r="E442" s="9" t="n">
        <v/>
      </c>
      <c r="F442" s="9" t="inlineStr">
        <is>
          <t>per-seat</t>
        </is>
      </c>
    </row>
    <row r="443">
      <c r="A443" s="9" t="n">
        <v>442</v>
      </c>
      <c r="B443" s="9" t="inlineStr">
        <is>
          <t>Whereby</t>
        </is>
      </c>
      <c r="C443" s="9" t="inlineStr">
        <is>
          <t>Business</t>
        </is>
      </c>
      <c r="D443" s="9" t="n">
        <v>11.99</v>
      </c>
      <c r="E443" s="9" t="n">
        <v/>
      </c>
      <c r="F443" s="9" t="inlineStr">
        <is>
          <t>per-seat</t>
        </is>
      </c>
    </row>
    <row r="444">
      <c r="A444" s="9" t="n">
        <v>443</v>
      </c>
      <c r="B444" s="9" t="inlineStr">
        <is>
          <t>Loom</t>
        </is>
      </c>
      <c r="C444" s="9" t="inlineStr">
        <is>
          <t>Starter</t>
        </is>
      </c>
      <c r="D444" s="9" t="n">
        <v>0</v>
      </c>
      <c r="E444" s="9" t="n">
        <v/>
      </c>
      <c r="F444" s="9" t="inlineStr">
        <is>
          <t>flat</t>
        </is>
      </c>
    </row>
    <row r="445">
      <c r="A445" s="9" t="n">
        <v>444</v>
      </c>
      <c r="B445" s="9" t="inlineStr">
        <is>
          <t>Loom</t>
        </is>
      </c>
      <c r="C445" s="9" t="inlineStr">
        <is>
          <t>Business</t>
        </is>
      </c>
      <c r="D445" s="9" t="n">
        <v>18</v>
      </c>
      <c r="E445" s="9" t="n">
        <v/>
      </c>
      <c r="F445" s="9" t="inlineStr">
        <is>
          <t>per-seat</t>
        </is>
      </c>
    </row>
    <row r="446">
      <c r="A446" s="9" t="n">
        <v>445</v>
      </c>
      <c r="B446" s="9" t="inlineStr">
        <is>
          <t>Loom</t>
        </is>
      </c>
      <c r="C446" s="9" t="inlineStr">
        <is>
          <t>Business + AI</t>
        </is>
      </c>
      <c r="D446" s="9" t="n">
        <v>24</v>
      </c>
      <c r="E446" s="9" t="n">
        <v/>
      </c>
      <c r="F446" s="9" t="inlineStr">
        <is>
          <t>per-seat</t>
        </is>
      </c>
    </row>
    <row r="447">
      <c r="A447" s="9" t="n">
        <v>446</v>
      </c>
      <c r="B447" s="9" t="inlineStr">
        <is>
          <t>Loom</t>
        </is>
      </c>
      <c r="C447" s="9" t="inlineStr">
        <is>
          <t>Enterprise</t>
        </is>
      </c>
      <c r="D447" s="9" t="n">
        <v/>
      </c>
      <c r="E447" s="9" t="n">
        <v/>
      </c>
      <c r="F447" s="9" t="inlineStr">
        <is>
          <t>flat</t>
        </is>
      </c>
    </row>
    <row r="448">
      <c r="A448" s="9" t="n">
        <v>447</v>
      </c>
      <c r="B448" s="9" t="inlineStr">
        <is>
          <t>Webex by Cisco</t>
        </is>
      </c>
      <c r="C448" s="9" t="inlineStr">
        <is>
          <t>Free</t>
        </is>
      </c>
      <c r="D448" s="9" t="n">
        <v>0</v>
      </c>
      <c r="E448" s="9" t="n">
        <v/>
      </c>
      <c r="F448" s="9" t="inlineStr">
        <is>
          <t>flat</t>
        </is>
      </c>
    </row>
    <row r="449">
      <c r="A449" s="9" t="n">
        <v>448</v>
      </c>
      <c r="B449" s="9" t="inlineStr">
        <is>
          <t>Webex by Cisco</t>
        </is>
      </c>
      <c r="C449" s="9" t="inlineStr">
        <is>
          <t>Meet</t>
        </is>
      </c>
      <c r="D449" s="9" t="n">
        <v>14.5</v>
      </c>
      <c r="E449" s="9" t="n">
        <v/>
      </c>
      <c r="F449" s="9" t="inlineStr">
        <is>
          <t>per-seat</t>
        </is>
      </c>
    </row>
    <row r="450">
      <c r="A450" s="9" t="n">
        <v>449</v>
      </c>
      <c r="B450" s="9" t="inlineStr">
        <is>
          <t>Webex by Cisco</t>
        </is>
      </c>
      <c r="C450" s="9" t="inlineStr">
        <is>
          <t>Suite</t>
        </is>
      </c>
      <c r="D450" s="9" t="n">
        <v>25</v>
      </c>
      <c r="E450" s="9" t="n">
        <v/>
      </c>
      <c r="F450" s="9" t="inlineStr">
        <is>
          <t>per-seat</t>
        </is>
      </c>
    </row>
    <row r="451">
      <c r="A451" s="9" t="n">
        <v>450</v>
      </c>
      <c r="B451" s="9" t="inlineStr">
        <is>
          <t>Webex by Cisco</t>
        </is>
      </c>
      <c r="C451" s="9" t="inlineStr">
        <is>
          <t>Enterprise</t>
        </is>
      </c>
      <c r="D451" s="9" t="n">
        <v/>
      </c>
      <c r="E451" s="9" t="n">
        <v/>
      </c>
      <c r="F451" s="9" t="inlineStr">
        <is>
          <t>per-seat</t>
        </is>
      </c>
    </row>
    <row r="452">
      <c r="A452" s="9" t="n">
        <v>451</v>
      </c>
      <c r="B452" s="9" t="inlineStr">
        <is>
          <t>GoTo Meeting</t>
        </is>
      </c>
      <c r="C452" s="9" t="inlineStr">
        <is>
          <t>Professional</t>
        </is>
      </c>
      <c r="D452" s="9" t="n">
        <v>12</v>
      </c>
      <c r="E452" s="9" t="n">
        <v/>
      </c>
      <c r="F452" s="9" t="inlineStr">
        <is>
          <t>per-project</t>
        </is>
      </c>
    </row>
    <row r="453">
      <c r="A453" s="9" t="n">
        <v>452</v>
      </c>
      <c r="B453" s="9" t="inlineStr">
        <is>
          <t>GoTo Meeting</t>
        </is>
      </c>
      <c r="C453" s="9" t="inlineStr">
        <is>
          <t>Business</t>
        </is>
      </c>
      <c r="D453" s="9" t="n">
        <v>16</v>
      </c>
      <c r="E453" s="9" t="n">
        <v/>
      </c>
      <c r="F453" s="9" t="inlineStr">
        <is>
          <t>per-project</t>
        </is>
      </c>
    </row>
    <row r="454">
      <c r="A454" s="9" t="n">
        <v>453</v>
      </c>
      <c r="B454" s="9" t="inlineStr">
        <is>
          <t>Around</t>
        </is>
      </c>
      <c r="C454" s="9" t="inlineStr">
        <is>
          <t>Free (via Miro)</t>
        </is>
      </c>
      <c r="D454" s="9" t="n">
        <v>0</v>
      </c>
      <c r="E454" s="9" t="n">
        <v/>
      </c>
      <c r="F454" s="9" t="inlineStr">
        <is>
          <t>flat</t>
        </is>
      </c>
    </row>
    <row r="455">
      <c r="A455" s="9" t="n">
        <v>454</v>
      </c>
      <c r="B455" s="9" t="inlineStr">
        <is>
          <t>Livestorm</t>
        </is>
      </c>
      <c r="C455" s="9" t="inlineStr">
        <is>
          <t>Free</t>
        </is>
      </c>
      <c r="D455" s="9" t="n">
        <v>0</v>
      </c>
      <c r="E455" s="9" t="n">
        <v/>
      </c>
      <c r="F455" s="9" t="inlineStr">
        <is>
          <t>flat</t>
        </is>
      </c>
    </row>
    <row r="456">
      <c r="A456" s="9" t="n">
        <v>455</v>
      </c>
      <c r="B456" s="9" t="inlineStr">
        <is>
          <t>Livestorm</t>
        </is>
      </c>
      <c r="C456" s="9" t="inlineStr">
        <is>
          <t>Pro</t>
        </is>
      </c>
      <c r="D456" s="9" t="n">
        <v>99</v>
      </c>
      <c r="E456" s="9" t="n">
        <v/>
      </c>
      <c r="F456" s="9" t="inlineStr">
        <is>
          <t>flat</t>
        </is>
      </c>
    </row>
    <row r="457">
      <c r="A457" s="9" t="n">
        <v>456</v>
      </c>
      <c r="B457" s="9" t="inlineStr">
        <is>
          <t>Livestorm</t>
        </is>
      </c>
      <c r="C457" s="9" t="inlineStr">
        <is>
          <t>Business</t>
        </is>
      </c>
      <c r="D457" s="9" t="n">
        <v/>
      </c>
      <c r="E457" s="9" t="n">
        <v/>
      </c>
      <c r="F457" s="9" t="inlineStr">
        <is>
          <t>flat</t>
        </is>
      </c>
    </row>
    <row r="458">
      <c r="A458" s="9" t="n">
        <v>457</v>
      </c>
      <c r="B458" s="9" t="inlineStr">
        <is>
          <t>Livestorm</t>
        </is>
      </c>
      <c r="C458" s="9" t="inlineStr">
        <is>
          <t>Enterprise</t>
        </is>
      </c>
      <c r="D458" s="9" t="n">
        <v/>
      </c>
      <c r="E458" s="9" t="n">
        <v/>
      </c>
      <c r="F458" s="9" t="inlineStr">
        <is>
          <t>flat</t>
        </is>
      </c>
    </row>
    <row r="459">
      <c r="A459" s="9" t="n">
        <v>458</v>
      </c>
      <c r="B459" s="9" t="inlineStr">
        <is>
          <t>Jitsi Meet</t>
        </is>
      </c>
      <c r="C459" s="9" t="inlineStr">
        <is>
          <t>Free (Cloud)</t>
        </is>
      </c>
      <c r="D459" s="9" t="n">
        <v>0</v>
      </c>
      <c r="E459" s="9" t="n">
        <v/>
      </c>
      <c r="F459" s="9" t="inlineStr">
        <is>
          <t>flat</t>
        </is>
      </c>
    </row>
    <row r="460">
      <c r="A460" s="9" t="n">
        <v>459</v>
      </c>
      <c r="B460" s="9" t="inlineStr">
        <is>
          <t>Jitsi Meet</t>
        </is>
      </c>
      <c r="C460" s="9" t="inlineStr">
        <is>
          <t>Self-hosted</t>
        </is>
      </c>
      <c r="D460" s="9" t="n">
        <v>0</v>
      </c>
      <c r="E460" s="9" t="n">
        <v/>
      </c>
      <c r="F460" s="9" t="inlineStr">
        <is>
          <t>flat</t>
        </is>
      </c>
    </row>
    <row r="461">
      <c r="A461" s="9" t="n">
        <v>460</v>
      </c>
      <c r="B461" s="9" t="inlineStr">
        <is>
          <t>Jitsi Meet</t>
        </is>
      </c>
      <c r="C461" s="9" t="inlineStr">
        <is>
          <t>8x8 JaaS</t>
        </is>
      </c>
      <c r="D461" s="9" t="n">
        <v/>
      </c>
      <c r="E461" s="9" t="n">
        <v/>
      </c>
      <c r="F461" s="9" t="inlineStr">
        <is>
          <t>usage-based</t>
        </is>
      </c>
    </row>
    <row r="462">
      <c r="A462" s="9" t="n">
        <v>461</v>
      </c>
      <c r="B462" s="9" t="inlineStr">
        <is>
          <t>Riverside.fm</t>
        </is>
      </c>
      <c r="C462" s="9" t="inlineStr">
        <is>
          <t>Free</t>
        </is>
      </c>
      <c r="D462" s="9" t="n">
        <v>0</v>
      </c>
      <c r="E462" s="9" t="n">
        <v/>
      </c>
      <c r="F462" s="9" t="inlineStr">
        <is>
          <t>flat</t>
        </is>
      </c>
    </row>
    <row r="463">
      <c r="A463" s="9" t="n">
        <v>462</v>
      </c>
      <c r="B463" s="9" t="inlineStr">
        <is>
          <t>Riverside.fm</t>
        </is>
      </c>
      <c r="C463" s="9" t="inlineStr">
        <is>
          <t>Standard</t>
        </is>
      </c>
      <c r="D463" s="9" t="n">
        <v>19</v>
      </c>
      <c r="E463" s="9" t="n">
        <v/>
      </c>
      <c r="F463" s="9" t="inlineStr">
        <is>
          <t>flat</t>
        </is>
      </c>
    </row>
    <row r="464">
      <c r="A464" s="9" t="n">
        <v>463</v>
      </c>
      <c r="B464" s="9" t="inlineStr">
        <is>
          <t>Riverside.fm</t>
        </is>
      </c>
      <c r="C464" s="9" t="inlineStr">
        <is>
          <t>Pro</t>
        </is>
      </c>
      <c r="D464" s="9" t="n">
        <v>29</v>
      </c>
      <c r="E464" s="9" t="n">
        <v/>
      </c>
      <c r="F464" s="9" t="inlineStr">
        <is>
          <t>flat</t>
        </is>
      </c>
    </row>
    <row r="465">
      <c r="A465" s="9" t="n">
        <v>464</v>
      </c>
      <c r="B465" s="9" t="inlineStr">
        <is>
          <t>Riverside.fm</t>
        </is>
      </c>
      <c r="C465" s="9" t="inlineStr">
        <is>
          <t>Enterprise</t>
        </is>
      </c>
      <c r="D465" s="9" t="n">
        <v/>
      </c>
      <c r="E465" s="9" t="n">
        <v/>
      </c>
      <c r="F465" s="9" t="inlineStr">
        <is>
          <t>flat</t>
        </is>
      </c>
    </row>
    <row r="466">
      <c r="A466" s="9" t="n">
        <v>465</v>
      </c>
      <c r="B466" s="9" t="inlineStr">
        <is>
          <t>Daily</t>
        </is>
      </c>
      <c r="C466" s="9" t="inlineStr">
        <is>
          <t>Free</t>
        </is>
      </c>
      <c r="D466" s="9" t="n">
        <v>0</v>
      </c>
      <c r="E466" s="9" t="n">
        <v/>
      </c>
      <c r="F466" s="9" t="inlineStr">
        <is>
          <t>flat</t>
        </is>
      </c>
    </row>
    <row r="467">
      <c r="A467" s="9" t="n">
        <v>466</v>
      </c>
      <c r="B467" s="9" t="inlineStr">
        <is>
          <t>Daily</t>
        </is>
      </c>
      <c r="C467" s="9" t="inlineStr">
        <is>
          <t>Scale</t>
        </is>
      </c>
      <c r="D467" s="9" t="n">
        <v/>
      </c>
      <c r="E467" s="9" t="n">
        <v/>
      </c>
      <c r="F467" s="9" t="inlineStr">
        <is>
          <t>usage-based</t>
        </is>
      </c>
    </row>
    <row r="468">
      <c r="A468" s="9" t="n">
        <v>467</v>
      </c>
      <c r="B468" s="9" t="inlineStr">
        <is>
          <t>Daily</t>
        </is>
      </c>
      <c r="C468" s="9" t="inlineStr">
        <is>
          <t>Enterprise</t>
        </is>
      </c>
      <c r="D468" s="9" t="n">
        <v/>
      </c>
      <c r="E468" s="9" t="n">
        <v/>
      </c>
      <c r="F468" s="9" t="inlineStr">
        <is>
          <t>flat</t>
        </is>
      </c>
    </row>
    <row r="469">
      <c r="A469" s="9" t="n">
        <v>468</v>
      </c>
      <c r="B469" s="9" t="inlineStr">
        <is>
          <t>Vowel</t>
        </is>
      </c>
      <c r="C469" s="9" t="inlineStr">
        <is>
          <t>Free</t>
        </is>
      </c>
      <c r="D469" s="9" t="n">
        <v>0</v>
      </c>
      <c r="E469" s="9" t="n">
        <v/>
      </c>
      <c r="F469" s="9" t="inlineStr">
        <is>
          <t>flat</t>
        </is>
      </c>
    </row>
    <row r="470">
      <c r="A470" s="9" t="n">
        <v>469</v>
      </c>
      <c r="B470" s="9" t="inlineStr">
        <is>
          <t>Vowel</t>
        </is>
      </c>
      <c r="C470" s="9" t="inlineStr">
        <is>
          <t>Business</t>
        </is>
      </c>
      <c r="D470" s="9" t="n">
        <v>16.49</v>
      </c>
      <c r="E470" s="9" t="n">
        <v/>
      </c>
      <c r="F470" s="9" t="inlineStr">
        <is>
          <t>flat</t>
        </is>
      </c>
    </row>
    <row r="471">
      <c r="A471" s="9" t="n">
        <v>470</v>
      </c>
      <c r="B471" s="9" t="inlineStr">
        <is>
          <t>Vowel</t>
        </is>
      </c>
      <c r="C471" s="9" t="inlineStr">
        <is>
          <t>Enterprise</t>
        </is>
      </c>
      <c r="D471" s="9" t="n">
        <v/>
      </c>
      <c r="E471" s="9" t="n">
        <v/>
      </c>
      <c r="F471" s="9" t="inlineStr">
        <is>
          <t>flat</t>
        </is>
      </c>
    </row>
    <row r="472">
      <c r="A472" s="9" t="n">
        <v>471</v>
      </c>
      <c r="B472" s="9" t="inlineStr">
        <is>
          <t>Cal.com (Cal Video)</t>
        </is>
      </c>
      <c r="C472" s="9" t="inlineStr">
        <is>
          <t>Free</t>
        </is>
      </c>
      <c r="D472" s="9" t="n">
        <v>0</v>
      </c>
      <c r="E472" s="9" t="n">
        <v/>
      </c>
      <c r="F472" s="9" t="inlineStr">
        <is>
          <t>flat</t>
        </is>
      </c>
    </row>
    <row r="473">
      <c r="A473" s="9" t="n">
        <v>472</v>
      </c>
      <c r="B473" s="9" t="inlineStr">
        <is>
          <t>Cal.com (Cal Video)</t>
        </is>
      </c>
      <c r="C473" s="9" t="inlineStr">
        <is>
          <t>Team</t>
        </is>
      </c>
      <c r="D473" s="9" t="n">
        <v>12</v>
      </c>
      <c r="E473" s="9" t="n">
        <v/>
      </c>
      <c r="F473" s="9" t="inlineStr">
        <is>
          <t>per-seat</t>
        </is>
      </c>
    </row>
    <row r="474">
      <c r="A474" s="9" t="n">
        <v>473</v>
      </c>
      <c r="B474" s="9" t="inlineStr">
        <is>
          <t>Cal.com (Cal Video)</t>
        </is>
      </c>
      <c r="C474" s="9" t="inlineStr">
        <is>
          <t>Enterprise</t>
        </is>
      </c>
      <c r="D474" s="9" t="n">
        <v/>
      </c>
      <c r="E474" s="9" t="n">
        <v/>
      </c>
      <c r="F474" s="9" t="inlineStr">
        <is>
          <t>flat</t>
        </is>
      </c>
    </row>
    <row r="475">
      <c r="A475" s="9" t="n">
        <v>474</v>
      </c>
      <c r="B475" s="9" t="inlineStr">
        <is>
          <t>Butter</t>
        </is>
      </c>
      <c r="C475" s="9" t="inlineStr">
        <is>
          <t>Free</t>
        </is>
      </c>
      <c r="D475" s="9" t="n">
        <v>0</v>
      </c>
      <c r="E475" s="9" t="n">
        <v/>
      </c>
      <c r="F475" s="9" t="inlineStr">
        <is>
          <t>flat</t>
        </is>
      </c>
    </row>
    <row r="476">
      <c r="A476" s="9" t="n">
        <v>475</v>
      </c>
      <c r="B476" s="9" t="inlineStr">
        <is>
          <t>Butter</t>
        </is>
      </c>
      <c r="C476" s="9" t="inlineStr">
        <is>
          <t>Pro</t>
        </is>
      </c>
      <c r="D476" s="9" t="n">
        <v>25</v>
      </c>
      <c r="E476" s="9" t="n">
        <v/>
      </c>
      <c r="F476" s="9" t="inlineStr">
        <is>
          <t>flat</t>
        </is>
      </c>
    </row>
    <row r="477">
      <c r="A477" s="9" t="n">
        <v>476</v>
      </c>
      <c r="B477" s="9" t="inlineStr">
        <is>
          <t>Butter</t>
        </is>
      </c>
      <c r="C477" s="9" t="inlineStr">
        <is>
          <t>Business</t>
        </is>
      </c>
      <c r="D477" s="9" t="n">
        <v/>
      </c>
      <c r="E477" s="9" t="n">
        <v/>
      </c>
      <c r="F477" s="9" t="inlineStr">
        <is>
          <t>flat</t>
        </is>
      </c>
    </row>
    <row r="478">
      <c r="A478" s="9" t="n">
        <v>477</v>
      </c>
      <c r="B478" s="9" t="inlineStr">
        <is>
          <t>Dialpad</t>
        </is>
      </c>
      <c r="C478" s="9" t="inlineStr">
        <is>
          <t>Standard</t>
        </is>
      </c>
      <c r="D478" s="9" t="n">
        <v>27</v>
      </c>
      <c r="E478" s="9" t="n">
        <v/>
      </c>
      <c r="F478" s="9" t="inlineStr">
        <is>
          <t>per-seat</t>
        </is>
      </c>
    </row>
    <row r="479">
      <c r="A479" s="9" t="n">
        <v>478</v>
      </c>
      <c r="B479" s="9" t="inlineStr">
        <is>
          <t>Dialpad</t>
        </is>
      </c>
      <c r="C479" s="9" t="inlineStr">
        <is>
          <t>Pro</t>
        </is>
      </c>
      <c r="D479" s="9" t="n">
        <v>35</v>
      </c>
      <c r="E479" s="9" t="n">
        <v/>
      </c>
      <c r="F479" s="9" t="inlineStr">
        <is>
          <t>per-seat</t>
        </is>
      </c>
    </row>
    <row r="480">
      <c r="A480" s="9" t="n">
        <v>479</v>
      </c>
      <c r="B480" s="9" t="inlineStr">
        <is>
          <t>Dialpad</t>
        </is>
      </c>
      <c r="C480" s="9" t="inlineStr">
        <is>
          <t>Enterprise</t>
        </is>
      </c>
      <c r="D480" s="9" t="n">
        <v/>
      </c>
      <c r="E480" s="9" t="n">
        <v/>
      </c>
      <c r="F480" s="9" t="inlineStr">
        <is>
          <t>per-seat</t>
        </is>
      </c>
    </row>
    <row r="481">
      <c r="A481" s="9" t="n">
        <v>480</v>
      </c>
      <c r="B481" s="9" t="inlineStr">
        <is>
          <t>Slack</t>
        </is>
      </c>
      <c r="C481" s="9" t="inlineStr">
        <is>
          <t>Free</t>
        </is>
      </c>
      <c r="D481" s="9" t="n">
        <v>0</v>
      </c>
      <c r="E481" s="9" t="n">
        <v/>
      </c>
      <c r="F481" s="9" t="inlineStr">
        <is>
          <t>flat</t>
        </is>
      </c>
    </row>
    <row r="482">
      <c r="A482" s="9" t="n">
        <v>481</v>
      </c>
      <c r="B482" s="9" t="inlineStr">
        <is>
          <t>Slack</t>
        </is>
      </c>
      <c r="C482" s="9" t="inlineStr">
        <is>
          <t>Pro</t>
        </is>
      </c>
      <c r="D482" s="9" t="n">
        <v>8.75</v>
      </c>
      <c r="E482" s="9" t="n">
        <v/>
      </c>
      <c r="F482" s="9" t="inlineStr">
        <is>
          <t>per-seat</t>
        </is>
      </c>
    </row>
    <row r="483">
      <c r="A483" s="9" t="n">
        <v>482</v>
      </c>
      <c r="B483" s="9" t="inlineStr">
        <is>
          <t>Slack</t>
        </is>
      </c>
      <c r="C483" s="9" t="inlineStr">
        <is>
          <t>Business+</t>
        </is>
      </c>
      <c r="D483" s="9" t="n">
        <v>15</v>
      </c>
      <c r="E483" s="9" t="n">
        <v/>
      </c>
      <c r="F483" s="9" t="inlineStr">
        <is>
          <t>per-seat</t>
        </is>
      </c>
    </row>
    <row r="484">
      <c r="A484" s="9" t="n">
        <v>483</v>
      </c>
      <c r="B484" s="9" t="inlineStr">
        <is>
          <t>Slack</t>
        </is>
      </c>
      <c r="C484" s="9" t="inlineStr">
        <is>
          <t>Enterprise Grid</t>
        </is>
      </c>
      <c r="D484" s="9" t="n">
        <v/>
      </c>
      <c r="E484" s="9" t="n">
        <v/>
      </c>
      <c r="F484" s="9" t="inlineStr">
        <is>
          <t>per-seat</t>
        </is>
      </c>
    </row>
    <row r="485">
      <c r="A485" s="9" t="n">
        <v>484</v>
      </c>
      <c r="B485" s="9" t="inlineStr">
        <is>
          <t>RingCentral</t>
        </is>
      </c>
      <c r="C485" s="9" t="inlineStr">
        <is>
          <t>Core</t>
        </is>
      </c>
      <c r="D485" s="9" t="n">
        <v>30</v>
      </c>
      <c r="E485" s="9" t="n">
        <v/>
      </c>
      <c r="F485" s="9" t="inlineStr">
        <is>
          <t>per-seat</t>
        </is>
      </c>
    </row>
    <row r="486">
      <c r="A486" s="9" t="n">
        <v>485</v>
      </c>
      <c r="B486" s="9" t="inlineStr">
        <is>
          <t>RingCentral</t>
        </is>
      </c>
      <c r="C486" s="9" t="inlineStr">
        <is>
          <t>Advanced</t>
        </is>
      </c>
      <c r="D486" s="9" t="n">
        <v>35</v>
      </c>
      <c r="E486" s="9" t="n">
        <v/>
      </c>
      <c r="F486" s="9" t="inlineStr">
        <is>
          <t>per-seat</t>
        </is>
      </c>
    </row>
    <row r="487">
      <c r="A487" s="9" t="n">
        <v>486</v>
      </c>
      <c r="B487" s="9" t="inlineStr">
        <is>
          <t>RingCentral</t>
        </is>
      </c>
      <c r="C487" s="9" t="inlineStr">
        <is>
          <t>Ultra</t>
        </is>
      </c>
      <c r="D487" s="9" t="n">
        <v>45</v>
      </c>
      <c r="E487" s="9" t="n">
        <v/>
      </c>
      <c r="F487" s="9" t="inlineStr">
        <is>
          <t>per-seat</t>
        </is>
      </c>
    </row>
    <row r="488">
      <c r="A488" s="9" t="n">
        <v>487</v>
      </c>
      <c r="B488" s="9" t="inlineStr">
        <is>
          <t>SugarCRM</t>
        </is>
      </c>
      <c r="C488" s="9" t="inlineStr">
        <is>
          <t>Essentials</t>
        </is>
      </c>
      <c r="D488" s="9" t="n">
        <v>19</v>
      </c>
      <c r="E488" s="9" t="n">
        <v/>
      </c>
      <c r="F488" s="9" t="inlineStr">
        <is>
          <t>per-seat</t>
        </is>
      </c>
    </row>
    <row r="489">
      <c r="A489" s="9" t="n">
        <v>488</v>
      </c>
      <c r="B489" s="9" t="inlineStr">
        <is>
          <t>SugarCRM</t>
        </is>
      </c>
      <c r="C489" s="9" t="inlineStr">
        <is>
          <t>Standard</t>
        </is>
      </c>
      <c r="D489" s="9" t="n">
        <v>59</v>
      </c>
      <c r="E489" s="9" t="n">
        <v/>
      </c>
      <c r="F489" s="9" t="inlineStr">
        <is>
          <t>per-seat</t>
        </is>
      </c>
    </row>
    <row r="490">
      <c r="A490" s="9" t="n">
        <v>489</v>
      </c>
      <c r="B490" s="9" t="inlineStr">
        <is>
          <t>SugarCRM</t>
        </is>
      </c>
      <c r="C490" s="9" t="inlineStr">
        <is>
          <t>Advanced</t>
        </is>
      </c>
      <c r="D490" s="9" t="n">
        <v>85</v>
      </c>
      <c r="E490" s="9" t="n">
        <v/>
      </c>
      <c r="F490" s="9" t="inlineStr">
        <is>
          <t>per-seat</t>
        </is>
      </c>
    </row>
    <row r="491">
      <c r="A491" s="9" t="n">
        <v>490</v>
      </c>
      <c r="B491" s="9" t="inlineStr">
        <is>
          <t>SugarCRM</t>
        </is>
      </c>
      <c r="C491" s="9" t="inlineStr">
        <is>
          <t>Premier</t>
        </is>
      </c>
      <c r="D491" s="9" t="n">
        <v>135</v>
      </c>
      <c r="E491" s="9" t="n">
        <v/>
      </c>
      <c r="F491" s="9" t="inlineStr">
        <is>
          <t>per-seat</t>
        </is>
      </c>
    </row>
    <row r="492">
      <c r="A492" s="9" t="n">
        <v>491</v>
      </c>
      <c r="B492" s="9" t="inlineStr">
        <is>
          <t>Zendesk Sell</t>
        </is>
      </c>
      <c r="C492" s="9" t="inlineStr">
        <is>
          <t>Team</t>
        </is>
      </c>
      <c r="D492" s="9" t="n">
        <v>25</v>
      </c>
      <c r="E492" s="9" t="n">
        <v/>
      </c>
      <c r="F492" s="9" t="inlineStr">
        <is>
          <t>flat</t>
        </is>
      </c>
    </row>
    <row r="493">
      <c r="A493" s="9" t="n">
        <v>492</v>
      </c>
      <c r="B493" s="9" t="inlineStr">
        <is>
          <t>Zendesk Sell</t>
        </is>
      </c>
      <c r="C493" s="9" t="inlineStr">
        <is>
          <t>Growth</t>
        </is>
      </c>
      <c r="D493" s="9" t="n">
        <v>69</v>
      </c>
      <c r="E493" s="9" t="n">
        <v/>
      </c>
      <c r="F493" s="9" t="inlineStr">
        <is>
          <t>flat</t>
        </is>
      </c>
    </row>
    <row r="494">
      <c r="A494" s="9" t="n">
        <v>493</v>
      </c>
      <c r="B494" s="9" t="inlineStr">
        <is>
          <t>Zendesk Sell</t>
        </is>
      </c>
      <c r="C494" s="9" t="inlineStr">
        <is>
          <t>Professional</t>
        </is>
      </c>
      <c r="D494" s="9" t="n">
        <v>149</v>
      </c>
      <c r="E494" s="9" t="n">
        <v/>
      </c>
      <c r="F494" s="9" t="inlineStr">
        <is>
          <t>flat</t>
        </is>
      </c>
    </row>
    <row r="495">
      <c r="A495" s="9" t="n">
        <v>494</v>
      </c>
      <c r="B495" s="9" t="inlineStr">
        <is>
          <t>HostGator</t>
        </is>
      </c>
      <c r="C495" s="9" t="inlineStr">
        <is>
          <t>Hatchling</t>
        </is>
      </c>
      <c r="D495" s="9" t="n">
        <v>3.75</v>
      </c>
      <c r="E495" s="9" t="n">
        <v/>
      </c>
      <c r="F495" s="9" t="inlineStr">
        <is>
          <t>flat</t>
        </is>
      </c>
    </row>
    <row r="496">
      <c r="A496" s="9" t="n">
        <v>495</v>
      </c>
      <c r="B496" s="9" t="inlineStr">
        <is>
          <t>HostGator</t>
        </is>
      </c>
      <c r="C496" s="9" t="inlineStr">
        <is>
          <t>Baby</t>
        </is>
      </c>
      <c r="D496" s="9" t="n">
        <v>4.5</v>
      </c>
      <c r="E496" s="9" t="n">
        <v/>
      </c>
      <c r="F496" s="9" t="inlineStr">
        <is>
          <t>flat</t>
        </is>
      </c>
    </row>
    <row r="497">
      <c r="A497" s="9" t="n">
        <v>496</v>
      </c>
      <c r="B497" s="9" t="inlineStr">
        <is>
          <t>HostGator</t>
        </is>
      </c>
      <c r="C497" s="9" t="inlineStr">
        <is>
          <t>Business</t>
        </is>
      </c>
      <c r="D497" s="9" t="n">
        <v>6.25</v>
      </c>
      <c r="E497" s="9" t="n">
        <v/>
      </c>
      <c r="F497" s="9" t="inlineStr">
        <is>
          <t>flat</t>
        </is>
      </c>
    </row>
    <row r="498">
      <c r="A498" s="9" t="n">
        <v>497</v>
      </c>
      <c r="B498" s="9" t="inlineStr">
        <is>
          <t>HubSpot CMS</t>
        </is>
      </c>
      <c r="C498" s="9" t="inlineStr">
        <is>
          <t>Free</t>
        </is>
      </c>
      <c r="D498" s="9" t="n">
        <v>0</v>
      </c>
      <c r="E498" s="9" t="n">
        <v/>
      </c>
      <c r="F498" s="9" t="inlineStr">
        <is>
          <t>flat</t>
        </is>
      </c>
    </row>
    <row r="499">
      <c r="A499" s="9" t="n">
        <v>498</v>
      </c>
      <c r="B499" s="9" t="inlineStr">
        <is>
          <t>HubSpot CMS</t>
        </is>
      </c>
      <c r="C499" s="9" t="inlineStr">
        <is>
          <t>Starter</t>
        </is>
      </c>
      <c r="D499" s="9" t="n">
        <v>20</v>
      </c>
      <c r="E499" s="9" t="n">
        <v/>
      </c>
      <c r="F499" s="9" t="inlineStr">
        <is>
          <t>flat</t>
        </is>
      </c>
    </row>
    <row r="500">
      <c r="A500" s="9" t="n">
        <v>499</v>
      </c>
      <c r="B500" s="9" t="inlineStr">
        <is>
          <t>HubSpot CMS</t>
        </is>
      </c>
      <c r="C500" s="9" t="inlineStr">
        <is>
          <t>Professional</t>
        </is>
      </c>
      <c r="D500" s="9" t="n">
        <v>500</v>
      </c>
      <c r="E500" s="9" t="n">
        <v/>
      </c>
      <c r="F500" s="9" t="inlineStr">
        <is>
          <t>flat</t>
        </is>
      </c>
    </row>
    <row r="501">
      <c r="A501" s="9" t="n">
        <v>500</v>
      </c>
      <c r="B501" s="9" t="inlineStr">
        <is>
          <t>HubSpot CMS</t>
        </is>
      </c>
      <c r="C501" s="9" t="inlineStr">
        <is>
          <t>Enterprise</t>
        </is>
      </c>
      <c r="D501" s="9" t="n">
        <v>1500</v>
      </c>
      <c r="E501" s="9" t="n">
        <v/>
      </c>
      <c r="F501" s="9" t="inlineStr">
        <is>
          <t>flat</t>
        </is>
      </c>
    </row>
    <row r="502">
      <c r="A502" s="9" t="n">
        <v>501</v>
      </c>
      <c r="B502" s="9" t="inlineStr">
        <is>
          <t>Tilda</t>
        </is>
      </c>
      <c r="C502" s="9" t="inlineStr">
        <is>
          <t>Free</t>
        </is>
      </c>
      <c r="D502" s="9" t="n">
        <v>0</v>
      </c>
      <c r="E502" s="9" t="n">
        <v/>
      </c>
      <c r="F502" s="9" t="inlineStr">
        <is>
          <t>flat</t>
        </is>
      </c>
    </row>
    <row r="503">
      <c r="A503" s="9" t="n">
        <v>502</v>
      </c>
      <c r="B503" s="9" t="inlineStr">
        <is>
          <t>Tilda</t>
        </is>
      </c>
      <c r="C503" s="9" t="inlineStr">
        <is>
          <t>Personal</t>
        </is>
      </c>
      <c r="D503" s="9" t="n">
        <v>25</v>
      </c>
      <c r="E503" s="9" t="n">
        <v/>
      </c>
      <c r="F503" s="9" t="inlineStr">
        <is>
          <t>flat</t>
        </is>
      </c>
    </row>
    <row r="504">
      <c r="A504" s="9" t="n">
        <v>503</v>
      </c>
      <c r="B504" s="9" t="inlineStr">
        <is>
          <t>Tilda</t>
        </is>
      </c>
      <c r="C504" s="9" t="inlineStr">
        <is>
          <t>Business</t>
        </is>
      </c>
      <c r="D504" s="9" t="n">
        <v>45</v>
      </c>
      <c r="E504" s="9" t="n">
        <v/>
      </c>
      <c r="F504" s="9" t="inlineStr">
        <is>
          <t>flat</t>
        </is>
      </c>
    </row>
    <row r="505">
      <c r="A505" s="9" t="n">
        <v>504</v>
      </c>
      <c r="B505" s="9" t="inlineStr">
        <is>
          <t>ClickFunnels</t>
        </is>
      </c>
      <c r="C505" s="9" t="inlineStr">
        <is>
          <t>Startup</t>
        </is>
      </c>
      <c r="D505" s="9" t="n">
        <v>81</v>
      </c>
      <c r="E505" s="9" t="n">
        <v/>
      </c>
      <c r="F505" s="9" t="inlineStr">
        <is>
          <t>flat</t>
        </is>
      </c>
    </row>
    <row r="506">
      <c r="A506" s="9" t="n">
        <v>505</v>
      </c>
      <c r="B506" s="9" t="inlineStr">
        <is>
          <t>ClickFunnels</t>
        </is>
      </c>
      <c r="C506" s="9" t="inlineStr">
        <is>
          <t>Pro</t>
        </is>
      </c>
      <c r="D506" s="9" t="n">
        <v>248</v>
      </c>
      <c r="E506" s="9" t="n">
        <v/>
      </c>
      <c r="F506" s="9" t="inlineStr">
        <is>
          <t>flat</t>
        </is>
      </c>
    </row>
    <row r="507">
      <c r="A507" s="9" t="n">
        <v>506</v>
      </c>
      <c r="B507" s="9" t="inlineStr">
        <is>
          <t>Mailjet</t>
        </is>
      </c>
      <c r="C507" s="9" t="inlineStr">
        <is>
          <t>Free</t>
        </is>
      </c>
      <c r="D507" s="9" t="n">
        <v>0</v>
      </c>
      <c r="E507" s="9" t="n">
        <v/>
      </c>
      <c r="F507" s="9" t="inlineStr">
        <is>
          <t>flat</t>
        </is>
      </c>
    </row>
    <row r="508">
      <c r="A508" s="9" t="n">
        <v>507</v>
      </c>
      <c r="B508" s="9" t="inlineStr">
        <is>
          <t>Mailjet</t>
        </is>
      </c>
      <c r="C508" s="9" t="inlineStr">
        <is>
          <t>Essential</t>
        </is>
      </c>
      <c r="D508" s="9" t="n">
        <v>17</v>
      </c>
      <c r="E508" s="9" t="n">
        <v/>
      </c>
      <c r="F508" s="9" t="inlineStr">
        <is>
          <t>flat</t>
        </is>
      </c>
    </row>
    <row r="509">
      <c r="A509" s="9" t="n">
        <v>508</v>
      </c>
      <c r="B509" s="9" t="inlineStr">
        <is>
          <t>Mailjet</t>
        </is>
      </c>
      <c r="C509" s="9" t="inlineStr">
        <is>
          <t>Premium</t>
        </is>
      </c>
      <c r="D509" s="9" t="n">
        <v>27</v>
      </c>
      <c r="E509" s="9" t="n">
        <v/>
      </c>
      <c r="F509" s="9" t="inlineStr">
        <is>
          <t>flat</t>
        </is>
      </c>
    </row>
    <row r="510">
      <c r="A510" s="9" t="n">
        <v>509</v>
      </c>
      <c r="B510" s="9" t="inlineStr">
        <is>
          <t>Mailjet</t>
        </is>
      </c>
      <c r="C510" s="9" t="inlineStr">
        <is>
          <t>Custom</t>
        </is>
      </c>
      <c r="D510" s="9" t="n">
        <v/>
      </c>
      <c r="E510" s="9" t="n">
        <v/>
      </c>
      <c r="F510" s="9" t="inlineStr">
        <is>
          <t>flat</t>
        </is>
      </c>
    </row>
    <row r="511">
      <c r="A511" s="9" t="n">
        <v>510</v>
      </c>
      <c r="B511" s="9" t="inlineStr">
        <is>
          <t>Twilio SendGrid</t>
        </is>
      </c>
      <c r="C511" s="9" t="inlineStr">
        <is>
          <t>Free</t>
        </is>
      </c>
      <c r="D511" s="9" t="n">
        <v>0</v>
      </c>
      <c r="E511" s="9" t="n">
        <v/>
      </c>
      <c r="F511" s="9" t="inlineStr">
        <is>
          <t>flat</t>
        </is>
      </c>
    </row>
    <row r="512">
      <c r="A512" s="9" t="n">
        <v>511</v>
      </c>
      <c r="B512" s="9" t="inlineStr">
        <is>
          <t>Twilio SendGrid</t>
        </is>
      </c>
      <c r="C512" s="9" t="inlineStr">
        <is>
          <t>Essentials</t>
        </is>
      </c>
      <c r="D512" s="9" t="n">
        <v>19.95</v>
      </c>
      <c r="E512" s="9" t="n">
        <v/>
      </c>
      <c r="F512" s="9" t="inlineStr">
        <is>
          <t>flat</t>
        </is>
      </c>
    </row>
    <row r="513">
      <c r="A513" s="9" t="n">
        <v>512</v>
      </c>
      <c r="B513" s="9" t="inlineStr">
        <is>
          <t>Twilio SendGrid</t>
        </is>
      </c>
      <c r="C513" s="9" t="inlineStr">
        <is>
          <t>Pro</t>
        </is>
      </c>
      <c r="D513" s="9" t="n">
        <v>89.95</v>
      </c>
      <c r="E513" s="9" t="n">
        <v/>
      </c>
      <c r="F513" s="9" t="inlineStr">
        <is>
          <t>flat</t>
        </is>
      </c>
    </row>
    <row r="514">
      <c r="A514" s="9" t="n">
        <v>513</v>
      </c>
      <c r="B514" s="9" t="inlineStr">
        <is>
          <t>Twilio SendGrid</t>
        </is>
      </c>
      <c r="C514" s="9" t="inlineStr">
        <is>
          <t>Premier</t>
        </is>
      </c>
      <c r="D514" s="9" t="n">
        <v/>
      </c>
      <c r="E514" s="9" t="n">
        <v/>
      </c>
      <c r="F514" s="9" t="inlineStr">
        <is>
          <t>flat</t>
        </is>
      </c>
    </row>
    <row r="515">
      <c r="A515" s="9" t="n">
        <v>514</v>
      </c>
      <c r="B515" s="9" t="inlineStr">
        <is>
          <t>Demio</t>
        </is>
      </c>
      <c r="C515" s="9" t="inlineStr">
        <is>
          <t>Starter</t>
        </is>
      </c>
      <c r="D515" s="9" t="n">
        <v>45</v>
      </c>
      <c r="E515" s="9" t="n">
        <v>540</v>
      </c>
      <c r="F515" s="9" t="inlineStr">
        <is>
          <t>flat</t>
        </is>
      </c>
    </row>
    <row r="516">
      <c r="A516" s="9" t="n">
        <v>515</v>
      </c>
      <c r="B516" s="9" t="inlineStr">
        <is>
          <t>Demio</t>
        </is>
      </c>
      <c r="C516" s="9" t="inlineStr">
        <is>
          <t>Growth</t>
        </is>
      </c>
      <c r="D516" s="9" t="n">
        <v>80</v>
      </c>
      <c r="E516" s="9" t="n">
        <v>960</v>
      </c>
      <c r="F516" s="9" t="inlineStr">
        <is>
          <t>flat</t>
        </is>
      </c>
    </row>
    <row r="517">
      <c r="A517" s="9" t="n">
        <v>516</v>
      </c>
      <c r="B517" s="9" t="inlineStr">
        <is>
          <t>Demio</t>
        </is>
      </c>
      <c r="C517" s="9" t="inlineStr">
        <is>
          <t>Premium</t>
        </is>
      </c>
      <c r="D517" s="9" t="n">
        <v>196</v>
      </c>
      <c r="E517" s="9" t="n">
        <v>2352</v>
      </c>
      <c r="F517" s="9" t="inlineStr">
        <is>
          <t>flat</t>
        </is>
      </c>
    </row>
    <row r="518">
      <c r="A518" s="9" t="n">
        <v>517</v>
      </c>
      <c r="B518" s="9" t="inlineStr">
        <is>
          <t>GIMP</t>
        </is>
      </c>
      <c r="C518" s="9" t="inlineStr">
        <is>
          <t>Free</t>
        </is>
      </c>
      <c r="D518" s="9" t="n">
        <v>0</v>
      </c>
      <c r="E518" s="9" t="n">
        <v/>
      </c>
      <c r="F518" s="9" t="inlineStr">
        <is>
          <t>flat</t>
        </is>
      </c>
    </row>
    <row r="519">
      <c r="A519" s="9" t="n">
        <v>518</v>
      </c>
      <c r="B519" s="9" t="inlineStr">
        <is>
          <t>CorelDRAW</t>
        </is>
      </c>
      <c r="C519" s="9" t="inlineStr">
        <is>
          <t>CorelDRAW Standard</t>
        </is>
      </c>
      <c r="D519" s="9" t="n">
        <v>399</v>
      </c>
      <c r="E519" s="9" t="n">
        <v/>
      </c>
      <c r="F519" s="9" t="inlineStr">
        <is>
          <t>flat</t>
        </is>
      </c>
    </row>
    <row r="520">
      <c r="A520" s="9" t="n">
        <v>519</v>
      </c>
      <c r="B520" s="9" t="inlineStr">
        <is>
          <t>CorelDRAW</t>
        </is>
      </c>
      <c r="C520" s="9" t="inlineStr">
        <is>
          <t>CorelDRAW Graphics Suite</t>
        </is>
      </c>
      <c r="D520" s="9" t="n">
        <v>33.5</v>
      </c>
      <c r="E520" s="9" t="n">
        <v/>
      </c>
      <c r="F520" s="9" t="inlineStr">
        <is>
          <t>flat</t>
        </is>
      </c>
    </row>
    <row r="521">
      <c r="A521" s="9" t="n">
        <v>520</v>
      </c>
      <c r="B521" s="9" t="inlineStr">
        <is>
          <t>CorelDRAW</t>
        </is>
      </c>
      <c r="C521" s="9" t="inlineStr">
        <is>
          <t>CorelDRAW Graphics Suite (Perpetual)</t>
        </is>
      </c>
      <c r="D521" s="9" t="n">
        <v>779</v>
      </c>
      <c r="E521" s="9" t="n">
        <v/>
      </c>
      <c r="F521" s="9" t="inlineStr">
        <is>
          <t>flat</t>
        </is>
      </c>
    </row>
    <row r="522">
      <c r="A522" s="9" t="n">
        <v>521</v>
      </c>
      <c r="B522" s="9" t="inlineStr">
        <is>
          <t>ChatGPT</t>
        </is>
      </c>
      <c r="C522" s="9" t="inlineStr">
        <is>
          <t>Free</t>
        </is>
      </c>
      <c r="D522" s="9" t="n">
        <v>0</v>
      </c>
      <c r="E522" s="9" t="n">
        <v/>
      </c>
      <c r="F522" s="9" t="inlineStr">
        <is>
          <t>flat</t>
        </is>
      </c>
    </row>
    <row r="523">
      <c r="A523" s="9" t="n">
        <v>522</v>
      </c>
      <c r="B523" s="9" t="inlineStr">
        <is>
          <t>ChatGPT</t>
        </is>
      </c>
      <c r="C523" s="9" t="inlineStr">
        <is>
          <t>Plus</t>
        </is>
      </c>
      <c r="D523" s="9" t="n">
        <v>20</v>
      </c>
      <c r="E523" s="9" t="n">
        <v/>
      </c>
      <c r="F523" s="9" t="inlineStr">
        <is>
          <t>flat</t>
        </is>
      </c>
    </row>
    <row r="524">
      <c r="A524" s="9" t="n">
        <v>523</v>
      </c>
      <c r="B524" s="9" t="inlineStr">
        <is>
          <t>ChatGPT</t>
        </is>
      </c>
      <c r="C524" s="9" t="inlineStr">
        <is>
          <t>Team</t>
        </is>
      </c>
      <c r="D524" s="9" t="n">
        <v>30</v>
      </c>
      <c r="E524" s="9" t="n">
        <v/>
      </c>
      <c r="F524" s="9" t="inlineStr">
        <is>
          <t>flat</t>
        </is>
      </c>
    </row>
    <row r="525">
      <c r="A525" s="9" t="n">
        <v>524</v>
      </c>
      <c r="B525" s="9" t="inlineStr">
        <is>
          <t>Claude</t>
        </is>
      </c>
      <c r="C525" s="9" t="inlineStr">
        <is>
          <t>Free</t>
        </is>
      </c>
      <c r="D525" s="9" t="n">
        <v>0</v>
      </c>
      <c r="E525" s="9" t="n">
        <v/>
      </c>
      <c r="F525" s="9" t="inlineStr">
        <is>
          <t>flat</t>
        </is>
      </c>
    </row>
    <row r="526">
      <c r="A526" s="9" t="n">
        <v>525</v>
      </c>
      <c r="B526" s="9" t="inlineStr">
        <is>
          <t>Claude</t>
        </is>
      </c>
      <c r="C526" s="9" t="inlineStr">
        <is>
          <t>Pro</t>
        </is>
      </c>
      <c r="D526" s="9" t="n">
        <v>20</v>
      </c>
      <c r="E526" s="9" t="n">
        <v/>
      </c>
      <c r="F526" s="9" t="inlineStr">
        <is>
          <t>flat</t>
        </is>
      </c>
    </row>
    <row r="527">
      <c r="A527" s="9" t="n">
        <v>526</v>
      </c>
      <c r="B527" s="9" t="inlineStr">
        <is>
          <t>Google Gemini</t>
        </is>
      </c>
      <c r="C527" s="9" t="inlineStr">
        <is>
          <t>Free</t>
        </is>
      </c>
      <c r="D527" s="9" t="n">
        <v>0</v>
      </c>
      <c r="E527" s="9" t="n">
        <v/>
      </c>
      <c r="F527" s="9" t="inlineStr">
        <is>
          <t>flat</t>
        </is>
      </c>
    </row>
    <row r="528">
      <c r="A528" s="9" t="n">
        <v>527</v>
      </c>
      <c r="B528" s="9" t="inlineStr">
        <is>
          <t>Google Gemini</t>
        </is>
      </c>
      <c r="C528" s="9" t="inlineStr">
        <is>
          <t>Advanced</t>
        </is>
      </c>
      <c r="D528" s="9" t="n">
        <v>20</v>
      </c>
      <c r="E528" s="9" t="n">
        <v/>
      </c>
      <c r="F528" s="9" t="inlineStr">
        <is>
          <t>flat</t>
        </is>
      </c>
    </row>
    <row r="529">
      <c r="A529" s="9" t="n">
        <v>528</v>
      </c>
      <c r="B529" s="9" t="inlineStr">
        <is>
          <t>Jasper</t>
        </is>
      </c>
      <c r="C529" s="9" t="inlineStr">
        <is>
          <t>Creator</t>
        </is>
      </c>
      <c r="D529" s="9" t="n">
        <v>39</v>
      </c>
      <c r="E529" s="9" t="n">
        <v/>
      </c>
      <c r="F529" s="9" t="inlineStr">
        <is>
          <t>per-seat</t>
        </is>
      </c>
    </row>
    <row r="530">
      <c r="A530" s="9" t="n">
        <v>529</v>
      </c>
      <c r="B530" s="9" t="inlineStr">
        <is>
          <t>Jasper</t>
        </is>
      </c>
      <c r="C530" s="9" t="inlineStr">
        <is>
          <t>Pro</t>
        </is>
      </c>
      <c r="D530" s="9" t="n">
        <v>59</v>
      </c>
      <c r="E530" s="9" t="n">
        <v/>
      </c>
      <c r="F530" s="9" t="inlineStr">
        <is>
          <t>per-seat</t>
        </is>
      </c>
    </row>
    <row r="531">
      <c r="A531" s="9" t="n">
        <v>530</v>
      </c>
      <c r="B531" s="9" t="inlineStr">
        <is>
          <t>Jasper</t>
        </is>
      </c>
      <c r="C531" s="9" t="inlineStr">
        <is>
          <t>Business</t>
        </is>
      </c>
      <c r="D531" s="9" t="n">
        <v/>
      </c>
      <c r="E531" s="9" t="n">
        <v/>
      </c>
      <c r="F531" s="9" t="inlineStr">
        <is>
          <t>flat</t>
        </is>
      </c>
    </row>
    <row r="532">
      <c r="A532" s="9" t="n">
        <v>531</v>
      </c>
      <c r="B532" s="9" t="inlineStr">
        <is>
          <t>Copy.ai</t>
        </is>
      </c>
      <c r="C532" s="9" t="inlineStr">
        <is>
          <t>Chat</t>
        </is>
      </c>
      <c r="D532" s="9" t="n">
        <v/>
      </c>
      <c r="E532" s="9" t="n">
        <v/>
      </c>
      <c r="F532" s="9" t="inlineStr">
        <is>
          <t>flat</t>
        </is>
      </c>
    </row>
    <row r="533">
      <c r="A533" s="9" t="n">
        <v>532</v>
      </c>
      <c r="B533" s="9" t="inlineStr">
        <is>
          <t>Copy.ai</t>
        </is>
      </c>
      <c r="C533" s="9" t="inlineStr">
        <is>
          <t>Growth</t>
        </is>
      </c>
      <c r="D533" s="9" t="n">
        <v>1000</v>
      </c>
      <c r="E533" s="9" t="n">
        <v>12000</v>
      </c>
      <c r="F533" s="9" t="inlineStr">
        <is>
          <t>flat</t>
        </is>
      </c>
    </row>
    <row r="534">
      <c r="A534" s="9" t="n">
        <v>533</v>
      </c>
      <c r="B534" s="9" t="inlineStr">
        <is>
          <t>Copy.ai</t>
        </is>
      </c>
      <c r="C534" s="9" t="inlineStr">
        <is>
          <t>Expansion</t>
        </is>
      </c>
      <c r="D534" s="9" t="n">
        <v>2000</v>
      </c>
      <c r="E534" s="9" t="n">
        <v>24000</v>
      </c>
      <c r="F534" s="9" t="inlineStr">
        <is>
          <t>flat</t>
        </is>
      </c>
    </row>
    <row r="535">
      <c r="A535" s="9" t="n">
        <v>534</v>
      </c>
      <c r="B535" s="9" t="inlineStr">
        <is>
          <t>Copy.ai</t>
        </is>
      </c>
      <c r="C535" s="9" t="inlineStr">
        <is>
          <t>Scale</t>
        </is>
      </c>
      <c r="D535" s="9" t="n">
        <v>3000</v>
      </c>
      <c r="E535" s="9" t="n">
        <v>36000</v>
      </c>
      <c r="F535" s="9" t="inlineStr">
        <is>
          <t>flat</t>
        </is>
      </c>
    </row>
    <row r="536">
      <c r="A536" s="9" t="n">
        <v>535</v>
      </c>
      <c r="B536" s="9" t="inlineStr">
        <is>
          <t>Grammarly</t>
        </is>
      </c>
      <c r="C536" s="9" t="inlineStr">
        <is>
          <t>Free</t>
        </is>
      </c>
      <c r="D536" s="9" t="n">
        <v>0</v>
      </c>
      <c r="E536" s="9" t="n">
        <v/>
      </c>
      <c r="F536" s="9" t="inlineStr">
        <is>
          <t>flat</t>
        </is>
      </c>
    </row>
    <row r="537">
      <c r="A537" s="9" t="n">
        <v>536</v>
      </c>
      <c r="B537" s="9" t="inlineStr">
        <is>
          <t>Grammarly</t>
        </is>
      </c>
      <c r="C537" s="9" t="inlineStr">
        <is>
          <t>Pro</t>
        </is>
      </c>
      <c r="D537" s="9" t="n">
        <v>12</v>
      </c>
      <c r="E537" s="9" t="n">
        <v/>
      </c>
      <c r="F537" s="9" t="inlineStr">
        <is>
          <t>per-seat</t>
        </is>
      </c>
    </row>
    <row r="538">
      <c r="A538" s="9" t="n">
        <v>537</v>
      </c>
      <c r="B538" s="9" t="inlineStr">
        <is>
          <t>Grammarly</t>
        </is>
      </c>
      <c r="C538" s="9" t="inlineStr">
        <is>
          <t>Enterprise</t>
        </is>
      </c>
      <c r="D538" s="9" t="n">
        <v/>
      </c>
      <c r="E538" s="9" t="n">
        <v/>
      </c>
      <c r="F538" s="9" t="inlineStr">
        <is>
          <t>flat</t>
        </is>
      </c>
    </row>
    <row r="539">
      <c r="A539" s="9" t="n">
        <v>538</v>
      </c>
      <c r="B539" s="9" t="inlineStr">
        <is>
          <t>1Password</t>
        </is>
      </c>
      <c r="C539" s="9" t="inlineStr">
        <is>
          <t>Personal</t>
        </is>
      </c>
      <c r="D539" s="9" t="n">
        <v>2.99</v>
      </c>
      <c r="E539" s="9" t="n">
        <v/>
      </c>
      <c r="F539" s="9" t="inlineStr">
        <is>
          <t>flat</t>
        </is>
      </c>
    </row>
    <row r="540">
      <c r="A540" s="9" t="n">
        <v>539</v>
      </c>
      <c r="B540" s="9" t="inlineStr">
        <is>
          <t>1Password</t>
        </is>
      </c>
      <c r="C540" s="9" t="inlineStr">
        <is>
          <t>Families</t>
        </is>
      </c>
      <c r="D540" s="9" t="n">
        <v>4.99</v>
      </c>
      <c r="E540" s="9" t="n">
        <v/>
      </c>
      <c r="F540" s="9" t="inlineStr">
        <is>
          <t>flat</t>
        </is>
      </c>
    </row>
    <row r="541">
      <c r="A541" s="9" t="n">
        <v>540</v>
      </c>
      <c r="B541" s="9" t="inlineStr">
        <is>
          <t>1Password</t>
        </is>
      </c>
      <c r="C541" s="9" t="inlineStr">
        <is>
          <t>Teams</t>
        </is>
      </c>
      <c r="D541" s="9" t="n">
        <v>7.99</v>
      </c>
      <c r="E541" s="9" t="n">
        <v/>
      </c>
      <c r="F541" s="9" t="inlineStr">
        <is>
          <t>flat</t>
        </is>
      </c>
    </row>
    <row r="542">
      <c r="A542" s="9" t="n">
        <v>541</v>
      </c>
      <c r="B542" s="9" t="inlineStr">
        <is>
          <t>Bitwarden</t>
        </is>
      </c>
      <c r="C542" s="9" t="inlineStr">
        <is>
          <t>Free</t>
        </is>
      </c>
      <c r="D542" s="9" t="n">
        <v>0</v>
      </c>
      <c r="E542" s="9" t="n">
        <v/>
      </c>
      <c r="F542" s="9" t="inlineStr">
        <is>
          <t>flat</t>
        </is>
      </c>
    </row>
    <row r="543">
      <c r="A543" s="9" t="n">
        <v>542</v>
      </c>
      <c r="B543" s="9" t="inlineStr">
        <is>
          <t>Bitwarden</t>
        </is>
      </c>
      <c r="C543" s="9" t="inlineStr">
        <is>
          <t>Premium</t>
        </is>
      </c>
      <c r="D543" s="9" t="n">
        <v>1</v>
      </c>
      <c r="E543" s="9" t="n">
        <v/>
      </c>
      <c r="F543" s="9" t="inlineStr">
        <is>
          <t>flat</t>
        </is>
      </c>
    </row>
    <row r="544">
      <c r="A544" s="9" t="n">
        <v>543</v>
      </c>
      <c r="B544" s="9" t="inlineStr">
        <is>
          <t>Bitwarden</t>
        </is>
      </c>
      <c r="C544" s="9" t="inlineStr">
        <is>
          <t>Teams</t>
        </is>
      </c>
      <c r="D544" s="9" t="n">
        <v>4</v>
      </c>
      <c r="E544" s="9" t="n">
        <v/>
      </c>
      <c r="F544" s="9" t="inlineStr">
        <is>
          <t>flat</t>
        </is>
      </c>
    </row>
    <row r="545">
      <c r="A545" s="9" t="n">
        <v>544</v>
      </c>
      <c r="B545" s="9" t="inlineStr">
        <is>
          <t>LastPass</t>
        </is>
      </c>
      <c r="C545" s="9" t="inlineStr">
        <is>
          <t>Free</t>
        </is>
      </c>
      <c r="D545" s="9" t="n">
        <v>0</v>
      </c>
      <c r="E545" s="9" t="n">
        <v/>
      </c>
      <c r="F545" s="9" t="inlineStr">
        <is>
          <t>flat</t>
        </is>
      </c>
    </row>
    <row r="546">
      <c r="A546" s="9" t="n">
        <v>545</v>
      </c>
      <c r="B546" s="9" t="inlineStr">
        <is>
          <t>LastPass</t>
        </is>
      </c>
      <c r="C546" s="9" t="inlineStr">
        <is>
          <t>Premium</t>
        </is>
      </c>
      <c r="D546" s="9" t="n">
        <v>3</v>
      </c>
      <c r="E546" s="9" t="n">
        <v/>
      </c>
      <c r="F546" s="9" t="inlineStr">
        <is>
          <t>flat</t>
        </is>
      </c>
    </row>
    <row r="547">
      <c r="A547" s="9" t="n">
        <v>546</v>
      </c>
      <c r="B547" s="9" t="inlineStr">
        <is>
          <t>LastPass</t>
        </is>
      </c>
      <c r="C547" s="9" t="inlineStr">
        <is>
          <t>Families</t>
        </is>
      </c>
      <c r="D547" s="9" t="n">
        <v>4</v>
      </c>
      <c r="E547" s="9" t="n">
        <v/>
      </c>
      <c r="F547" s="9" t="inlineStr">
        <is>
          <t>flat</t>
        </is>
      </c>
    </row>
    <row r="548">
      <c r="A548" s="9" t="n">
        <v>547</v>
      </c>
      <c r="B548" s="9" t="inlineStr">
        <is>
          <t>Dashlane</t>
        </is>
      </c>
      <c r="C548" s="9" t="inlineStr">
        <is>
          <t>Free</t>
        </is>
      </c>
      <c r="D548" s="9" t="n">
        <v>0</v>
      </c>
      <c r="E548" s="9" t="n">
        <v/>
      </c>
      <c r="F548" s="9" t="inlineStr">
        <is>
          <t>flat</t>
        </is>
      </c>
    </row>
    <row r="549">
      <c r="A549" s="9" t="n">
        <v>548</v>
      </c>
      <c r="B549" s="9" t="inlineStr">
        <is>
          <t>Dashlane</t>
        </is>
      </c>
      <c r="C549" s="9" t="inlineStr">
        <is>
          <t>Premium</t>
        </is>
      </c>
      <c r="D549" s="9" t="n">
        <v>4.99</v>
      </c>
      <c r="E549" s="9" t="n">
        <v/>
      </c>
      <c r="F549" s="9" t="inlineStr">
        <is>
          <t>flat</t>
        </is>
      </c>
    </row>
    <row r="550">
      <c r="A550" s="9" t="n">
        <v>549</v>
      </c>
      <c r="B550" s="9" t="inlineStr">
        <is>
          <t>Dashlane</t>
        </is>
      </c>
      <c r="C550" s="9" t="inlineStr">
        <is>
          <t>Business</t>
        </is>
      </c>
      <c r="D550" s="9" t="n">
        <v>8</v>
      </c>
      <c r="E550" s="9" t="n">
        <v/>
      </c>
      <c r="F550" s="9" t="inlineStr">
        <is>
          <t>flat</t>
        </is>
      </c>
    </row>
    <row r="551">
      <c r="A551" s="9" t="n">
        <v>550</v>
      </c>
      <c r="B551" s="9" t="inlineStr">
        <is>
          <t>NordPass</t>
        </is>
      </c>
      <c r="C551" s="9" t="inlineStr">
        <is>
          <t>Free</t>
        </is>
      </c>
      <c r="D551" s="9" t="n">
        <v>0</v>
      </c>
      <c r="E551" s="9" t="n">
        <v/>
      </c>
      <c r="F551" s="9" t="inlineStr">
        <is>
          <t>flat</t>
        </is>
      </c>
    </row>
    <row r="552">
      <c r="A552" s="9" t="n">
        <v>551</v>
      </c>
      <c r="B552" s="9" t="inlineStr">
        <is>
          <t>NordPass</t>
        </is>
      </c>
      <c r="C552" s="9" t="inlineStr">
        <is>
          <t>Premium</t>
        </is>
      </c>
      <c r="D552" s="9" t="n">
        <v>1.99</v>
      </c>
      <c r="E552" s="9" t="n">
        <v/>
      </c>
      <c r="F552" s="9" t="inlineStr">
        <is>
          <t>flat</t>
        </is>
      </c>
    </row>
    <row r="553">
      <c r="A553" s="9" t="n">
        <v>552</v>
      </c>
      <c r="B553" s="9" t="inlineStr">
        <is>
          <t>NordPass</t>
        </is>
      </c>
      <c r="C553" s="9" t="inlineStr">
        <is>
          <t>Teams</t>
        </is>
      </c>
      <c r="D553" s="9" t="n">
        <v>4.99</v>
      </c>
      <c r="E553" s="9" t="n">
        <v/>
      </c>
      <c r="F553" s="9" t="inlineStr">
        <is>
          <t>flat</t>
        </is>
      </c>
    </row>
    <row r="554">
      <c r="A554" s="9" t="n">
        <v>553</v>
      </c>
      <c r="B554" s="9" t="inlineStr">
        <is>
          <t>NordVPN</t>
        </is>
      </c>
      <c r="C554" s="9" t="inlineStr">
        <is>
          <t>Basic</t>
        </is>
      </c>
      <c r="D554" s="9" t="n">
        <v>3.99</v>
      </c>
      <c r="E554" s="9" t="n">
        <v/>
      </c>
      <c r="F554" s="9" t="inlineStr">
        <is>
          <t>flat</t>
        </is>
      </c>
    </row>
    <row r="555">
      <c r="A555" s="9" t="n">
        <v>554</v>
      </c>
      <c r="B555" s="9" t="inlineStr">
        <is>
          <t>NordVPN</t>
        </is>
      </c>
      <c r="C555" s="9" t="inlineStr">
        <is>
          <t>Plus</t>
        </is>
      </c>
      <c r="D555" s="9" t="n">
        <v>4.99</v>
      </c>
      <c r="E555" s="9" t="n">
        <v/>
      </c>
      <c r="F555" s="9" t="inlineStr">
        <is>
          <t>flat</t>
        </is>
      </c>
    </row>
    <row r="556">
      <c r="A556" s="9" t="n">
        <v>555</v>
      </c>
      <c r="B556" s="9" t="inlineStr">
        <is>
          <t>NordVPN</t>
        </is>
      </c>
      <c r="C556" s="9" t="inlineStr">
        <is>
          <t>Ultimate</t>
        </is>
      </c>
      <c r="D556" s="9" t="n">
        <v>6.99</v>
      </c>
      <c r="E556" s="9" t="n">
        <v/>
      </c>
      <c r="F556" s="9" t="inlineStr">
        <is>
          <t>flat</t>
        </is>
      </c>
    </row>
    <row r="557">
      <c r="A557" s="9" t="n">
        <v>556</v>
      </c>
      <c r="B557" s="9" t="inlineStr">
        <is>
          <t>ExpressVPN</t>
        </is>
      </c>
      <c r="C557" s="9" t="inlineStr">
        <is>
          <t>Monthly</t>
        </is>
      </c>
      <c r="D557" s="9" t="n">
        <v>12.95</v>
      </c>
      <c r="E557" s="9" t="n">
        <v/>
      </c>
      <c r="F557" s="9" t="inlineStr">
        <is>
          <t>flat</t>
        </is>
      </c>
    </row>
    <row r="558">
      <c r="A558" s="9" t="n">
        <v>557</v>
      </c>
      <c r="B558" s="9" t="inlineStr">
        <is>
          <t>ExpressVPN</t>
        </is>
      </c>
      <c r="C558" s="9" t="inlineStr">
        <is>
          <t>6 months</t>
        </is>
      </c>
      <c r="D558" s="9" t="n">
        <v>9.99</v>
      </c>
      <c r="E558" s="9" t="n">
        <v/>
      </c>
      <c r="F558" s="9" t="inlineStr">
        <is>
          <t>flat</t>
        </is>
      </c>
    </row>
    <row r="559">
      <c r="A559" s="9" t="n">
        <v>558</v>
      </c>
      <c r="B559" s="9" t="inlineStr">
        <is>
          <t>ExpressVPN</t>
        </is>
      </c>
      <c r="C559" s="9" t="inlineStr">
        <is>
          <t>Annual</t>
        </is>
      </c>
      <c r="D559" s="9" t="n">
        <v>6.67</v>
      </c>
      <c r="E559" s="9" t="n">
        <v/>
      </c>
      <c r="F559" s="9" t="inlineStr">
        <is>
          <t>flat</t>
        </is>
      </c>
    </row>
    <row r="560">
      <c r="A560" s="9" t="n">
        <v>559</v>
      </c>
      <c r="B560" s="9" t="inlineStr">
        <is>
          <t>Surfshark</t>
        </is>
      </c>
      <c r="C560" s="9" t="inlineStr">
        <is>
          <t>Starter</t>
        </is>
      </c>
      <c r="D560" s="9" t="n">
        <v>2.49</v>
      </c>
      <c r="E560" s="9" t="n">
        <v/>
      </c>
      <c r="F560" s="9" t="inlineStr">
        <is>
          <t>flat</t>
        </is>
      </c>
    </row>
    <row r="561">
      <c r="A561" s="9" t="n">
        <v>560</v>
      </c>
      <c r="B561" s="9" t="inlineStr">
        <is>
          <t>Surfshark</t>
        </is>
      </c>
      <c r="C561" s="9" t="inlineStr">
        <is>
          <t>One</t>
        </is>
      </c>
      <c r="D561" s="9" t="n">
        <v>3.39</v>
      </c>
      <c r="E561" s="9" t="n">
        <v/>
      </c>
      <c r="F561" s="9" t="inlineStr">
        <is>
          <t>flat</t>
        </is>
      </c>
    </row>
    <row r="562">
      <c r="A562" s="9" t="n">
        <v>561</v>
      </c>
      <c r="B562" s="9" t="inlineStr">
        <is>
          <t>Surfshark</t>
        </is>
      </c>
      <c r="C562" s="9" t="inlineStr">
        <is>
          <t>One+</t>
        </is>
      </c>
      <c r="D562" s="9" t="n">
        <v>5.99</v>
      </c>
      <c r="E562" s="9" t="n">
        <v/>
      </c>
      <c r="F562" s="9" t="inlineStr">
        <is>
          <t>flat</t>
        </is>
      </c>
    </row>
    <row r="563">
      <c r="A563" s="9" t="n">
        <v>562</v>
      </c>
      <c r="B563" s="9" t="inlineStr">
        <is>
          <t>ProtonVPN</t>
        </is>
      </c>
      <c r="C563" s="9" t="inlineStr">
        <is>
          <t>Free</t>
        </is>
      </c>
      <c r="D563" s="9" t="n">
        <v>0</v>
      </c>
      <c r="E563" s="9" t="n">
        <v/>
      </c>
      <c r="F563" s="9" t="inlineStr">
        <is>
          <t>flat</t>
        </is>
      </c>
    </row>
    <row r="564">
      <c r="A564" s="9" t="n">
        <v>563</v>
      </c>
      <c r="B564" s="9" t="inlineStr">
        <is>
          <t>ProtonVPN</t>
        </is>
      </c>
      <c r="C564" s="9" t="inlineStr">
        <is>
          <t>VPN Plus</t>
        </is>
      </c>
      <c r="D564" s="9" t="n">
        <v>4.99</v>
      </c>
      <c r="E564" s="9" t="n">
        <v/>
      </c>
      <c r="F564" s="9" t="inlineStr">
        <is>
          <t>flat</t>
        </is>
      </c>
    </row>
    <row r="565">
      <c r="A565" s="9" t="n">
        <v>564</v>
      </c>
      <c r="B565" s="9" t="inlineStr">
        <is>
          <t>CyberGhost</t>
        </is>
      </c>
      <c r="C565" s="9" t="inlineStr">
        <is>
          <t>Monthly</t>
        </is>
      </c>
      <c r="D565" s="9" t="n">
        <v>12.99</v>
      </c>
      <c r="E565" s="9" t="n">
        <v/>
      </c>
      <c r="F565" s="9" t="inlineStr">
        <is>
          <t>flat</t>
        </is>
      </c>
    </row>
    <row r="566">
      <c r="A566" s="9" t="n">
        <v>565</v>
      </c>
      <c r="B566" s="9" t="inlineStr">
        <is>
          <t>CyberGhost</t>
        </is>
      </c>
      <c r="C566" s="9" t="inlineStr">
        <is>
          <t>Annual</t>
        </is>
      </c>
      <c r="D566" s="9" t="n">
        <v>4.29</v>
      </c>
      <c r="E566" s="9" t="n">
        <v/>
      </c>
      <c r="F566" s="9" t="inlineStr">
        <is>
          <t>flat</t>
        </is>
      </c>
    </row>
    <row r="567">
      <c r="A567" s="9" t="n">
        <v>566</v>
      </c>
      <c r="B567" s="9" t="inlineStr">
        <is>
          <t>Midjourney</t>
        </is>
      </c>
      <c r="C567" s="9" t="inlineStr">
        <is>
          <t>Basic</t>
        </is>
      </c>
      <c r="D567" s="9" t="n">
        <v>10</v>
      </c>
      <c r="E567" s="9" t="n">
        <v/>
      </c>
      <c r="F567" s="9" t="inlineStr">
        <is>
          <t>flat</t>
        </is>
      </c>
    </row>
    <row r="568">
      <c r="A568" s="9" t="n">
        <v>567</v>
      </c>
      <c r="B568" s="9" t="inlineStr">
        <is>
          <t>Midjourney</t>
        </is>
      </c>
      <c r="C568" s="9" t="inlineStr">
        <is>
          <t>Standard</t>
        </is>
      </c>
      <c r="D568" s="9" t="n">
        <v>30</v>
      </c>
      <c r="E568" s="9" t="n">
        <v/>
      </c>
      <c r="F568" s="9" t="inlineStr">
        <is>
          <t>flat</t>
        </is>
      </c>
    </row>
    <row r="569">
      <c r="A569" s="9" t="n">
        <v>568</v>
      </c>
      <c r="B569" s="9" t="inlineStr">
        <is>
          <t>Midjourney</t>
        </is>
      </c>
      <c r="C569" s="9" t="inlineStr">
        <is>
          <t>Pro</t>
        </is>
      </c>
      <c r="D569" s="9" t="n">
        <v>60</v>
      </c>
      <c r="E569" s="9" t="n">
        <v/>
      </c>
      <c r="F569" s="9" t="inlineStr">
        <is>
          <t>flat</t>
        </is>
      </c>
    </row>
    <row r="570">
      <c r="A570" s="9" t="n">
        <v>569</v>
      </c>
      <c r="B570" s="9" t="inlineStr">
        <is>
          <t>DALL-E 3</t>
        </is>
      </c>
      <c r="C570" s="9" t="inlineStr">
        <is>
          <t>Via ChatGPT Plus</t>
        </is>
      </c>
      <c r="D570" s="9" t="n">
        <v>20</v>
      </c>
      <c r="E570" s="9" t="n">
        <v/>
      </c>
      <c r="F570" s="9" t="inlineStr">
        <is>
          <t>flat</t>
        </is>
      </c>
    </row>
    <row r="571">
      <c r="A571" s="9" t="n">
        <v>570</v>
      </c>
      <c r="B571" s="9" t="inlineStr">
        <is>
          <t>Stable Diffusion</t>
        </is>
      </c>
      <c r="C571" s="9" t="inlineStr">
        <is>
          <t>Free</t>
        </is>
      </c>
      <c r="D571" s="9" t="n">
        <v>0</v>
      </c>
      <c r="E571" s="9" t="n">
        <v/>
      </c>
      <c r="F571" s="9" t="inlineStr">
        <is>
          <t>flat</t>
        </is>
      </c>
    </row>
    <row r="572">
      <c r="A572" s="9" t="n">
        <v>571</v>
      </c>
      <c r="B572" s="9" t="inlineStr">
        <is>
          <t>Stable Diffusion</t>
        </is>
      </c>
      <c r="C572" s="9" t="inlineStr">
        <is>
          <t>API</t>
        </is>
      </c>
      <c r="D572" s="9" t="n">
        <v>20</v>
      </c>
      <c r="E572" s="9" t="n">
        <v/>
      </c>
      <c r="F572" s="9" t="inlineStr">
        <is>
          <t>flat</t>
        </is>
      </c>
    </row>
    <row r="573">
      <c r="A573" s="9" t="n">
        <v>572</v>
      </c>
      <c r="B573" s="9" t="inlineStr">
        <is>
          <t>Adobe Firefly</t>
        </is>
      </c>
      <c r="C573" s="9" t="inlineStr">
        <is>
          <t>Free</t>
        </is>
      </c>
      <c r="D573" s="9" t="n">
        <v>0</v>
      </c>
      <c r="E573" s="9" t="n">
        <v/>
      </c>
      <c r="F573" s="9" t="inlineStr">
        <is>
          <t>flat</t>
        </is>
      </c>
    </row>
    <row r="574">
      <c r="A574" s="9" t="n">
        <v>573</v>
      </c>
      <c r="B574" s="9" t="inlineStr">
        <is>
          <t>Adobe Firefly</t>
        </is>
      </c>
      <c r="C574" s="9" t="inlineStr">
        <is>
          <t>Premium</t>
        </is>
      </c>
      <c r="D574" s="9" t="n">
        <v>5</v>
      </c>
      <c r="E574" s="9" t="n">
        <v/>
      </c>
      <c r="F574" s="9" t="inlineStr">
        <is>
          <t>flat</t>
        </is>
      </c>
    </row>
    <row r="575">
      <c r="A575" s="9" t="n">
        <v>574</v>
      </c>
      <c r="B575" s="9" t="inlineStr">
        <is>
          <t>Leonardo AI</t>
        </is>
      </c>
      <c r="C575" s="9" t="inlineStr">
        <is>
          <t>Free</t>
        </is>
      </c>
      <c r="D575" s="9" t="n">
        <v>0</v>
      </c>
      <c r="E575" s="9" t="n">
        <v/>
      </c>
      <c r="F575" s="9" t="inlineStr">
        <is>
          <t>flat</t>
        </is>
      </c>
    </row>
    <row r="576">
      <c r="A576" s="9" t="n">
        <v>575</v>
      </c>
      <c r="B576" s="9" t="inlineStr">
        <is>
          <t>Leonardo AI</t>
        </is>
      </c>
      <c r="C576" s="9" t="inlineStr">
        <is>
          <t>Apprentice</t>
        </is>
      </c>
      <c r="D576" s="9" t="n">
        <v>12</v>
      </c>
      <c r="E576" s="9" t="n">
        <v/>
      </c>
      <c r="F576" s="9" t="inlineStr">
        <is>
          <t>flat</t>
        </is>
      </c>
    </row>
    <row r="577">
      <c r="A577" s="9" t="n">
        <v>576</v>
      </c>
      <c r="B577" s="9" t="inlineStr">
        <is>
          <t>Leonardo AI</t>
        </is>
      </c>
      <c r="C577" s="9" t="inlineStr">
        <is>
          <t>Artisan</t>
        </is>
      </c>
      <c r="D577" s="9" t="n">
        <v>30</v>
      </c>
      <c r="E577" s="9" t="n">
        <v/>
      </c>
      <c r="F577" s="9" t="inlineStr">
        <is>
          <t>flat</t>
        </is>
      </c>
    </row>
    <row r="578">
      <c r="A578" s="9" t="n">
        <v>577</v>
      </c>
      <c r="B578" s="9" t="inlineStr">
        <is>
          <t>Synthesia</t>
        </is>
      </c>
      <c r="C578" s="9" t="inlineStr">
        <is>
          <t>Free</t>
        </is>
      </c>
      <c r="D578" s="9" t="n">
        <v>0</v>
      </c>
      <c r="E578" s="9" t="n">
        <v/>
      </c>
      <c r="F578" s="9" t="inlineStr">
        <is>
          <t>flat</t>
        </is>
      </c>
    </row>
    <row r="579">
      <c r="A579" s="9" t="n">
        <v>578</v>
      </c>
      <c r="B579" s="9" t="inlineStr">
        <is>
          <t>Synthesia</t>
        </is>
      </c>
      <c r="C579" s="9" t="inlineStr">
        <is>
          <t>Starter</t>
        </is>
      </c>
      <c r="D579" s="9" t="n">
        <v>29</v>
      </c>
      <c r="E579" s="9" t="n">
        <v/>
      </c>
      <c r="F579" s="9" t="inlineStr">
        <is>
          <t>flat</t>
        </is>
      </c>
    </row>
    <row r="580">
      <c r="A580" s="9" t="n">
        <v>579</v>
      </c>
      <c r="B580" s="9" t="inlineStr">
        <is>
          <t>Synthesia</t>
        </is>
      </c>
      <c r="C580" s="9" t="inlineStr">
        <is>
          <t>Creator</t>
        </is>
      </c>
      <c r="D580" s="9" t="n">
        <v>89</v>
      </c>
      <c r="E580" s="9" t="n">
        <v/>
      </c>
      <c r="F580" s="9" t="inlineStr">
        <is>
          <t>flat</t>
        </is>
      </c>
    </row>
    <row r="581">
      <c r="A581" s="9" t="n">
        <v>580</v>
      </c>
      <c r="B581" s="9" t="inlineStr">
        <is>
          <t>Synthesia</t>
        </is>
      </c>
      <c r="C581" s="9" t="inlineStr">
        <is>
          <t>Enterprise</t>
        </is>
      </c>
      <c r="D581" s="9" t="n">
        <v/>
      </c>
      <c r="E581" s="9" t="n">
        <v/>
      </c>
      <c r="F581" s="9" t="inlineStr">
        <is>
          <t>flat</t>
        </is>
      </c>
    </row>
    <row r="582">
      <c r="A582" s="9" t="n">
        <v>581</v>
      </c>
      <c r="B582" s="9" t="inlineStr">
        <is>
          <t>HeyGen</t>
        </is>
      </c>
      <c r="C582" s="9" t="inlineStr">
        <is>
          <t>Free</t>
        </is>
      </c>
      <c r="D582" s="9" t="n">
        <v>0</v>
      </c>
      <c r="E582" s="9" t="n">
        <v/>
      </c>
      <c r="F582" s="9" t="inlineStr">
        <is>
          <t>flat</t>
        </is>
      </c>
    </row>
    <row r="583">
      <c r="A583" s="9" t="n">
        <v>582</v>
      </c>
      <c r="B583" s="9" t="inlineStr">
        <is>
          <t>HeyGen</t>
        </is>
      </c>
      <c r="C583" s="9" t="inlineStr">
        <is>
          <t>Creator</t>
        </is>
      </c>
      <c r="D583" s="9" t="n">
        <v>29</v>
      </c>
      <c r="E583" s="9" t="n">
        <v/>
      </c>
      <c r="F583" s="9" t="inlineStr">
        <is>
          <t>flat</t>
        </is>
      </c>
    </row>
    <row r="584">
      <c r="A584" s="9" t="n">
        <v>583</v>
      </c>
      <c r="B584" s="9" t="inlineStr">
        <is>
          <t>HeyGen</t>
        </is>
      </c>
      <c r="C584" s="9" t="inlineStr">
        <is>
          <t>Pro</t>
        </is>
      </c>
      <c r="D584" s="9" t="n">
        <v>99</v>
      </c>
      <c r="E584" s="9" t="n">
        <v/>
      </c>
      <c r="F584" s="9" t="inlineStr">
        <is>
          <t>flat</t>
        </is>
      </c>
    </row>
    <row r="585">
      <c r="A585" s="9" t="n">
        <v>584</v>
      </c>
      <c r="B585" s="9" t="inlineStr">
        <is>
          <t>Runway</t>
        </is>
      </c>
      <c r="C585" s="9" t="inlineStr">
        <is>
          <t>Free</t>
        </is>
      </c>
      <c r="D585" s="9" t="n">
        <v>0</v>
      </c>
      <c r="E585" s="9" t="n">
        <v/>
      </c>
      <c r="F585" s="9" t="inlineStr">
        <is>
          <t>flat</t>
        </is>
      </c>
    </row>
    <row r="586">
      <c r="A586" s="9" t="n">
        <v>585</v>
      </c>
      <c r="B586" s="9" t="inlineStr">
        <is>
          <t>Runway</t>
        </is>
      </c>
      <c r="C586" s="9" t="inlineStr">
        <is>
          <t>Standard</t>
        </is>
      </c>
      <c r="D586" s="9" t="n">
        <v>12</v>
      </c>
      <c r="E586" s="9" t="n">
        <v/>
      </c>
      <c r="F586" s="9" t="inlineStr">
        <is>
          <t>flat</t>
        </is>
      </c>
    </row>
    <row r="587">
      <c r="A587" s="9" t="n">
        <v>586</v>
      </c>
      <c r="B587" s="9" t="inlineStr">
        <is>
          <t>Runway</t>
        </is>
      </c>
      <c r="C587" s="9" t="inlineStr">
        <is>
          <t>Pro</t>
        </is>
      </c>
      <c r="D587" s="9" t="n">
        <v>28</v>
      </c>
      <c r="E587" s="9" t="n">
        <v/>
      </c>
      <c r="F587" s="9" t="inlineStr">
        <is>
          <t>flat</t>
        </is>
      </c>
    </row>
    <row r="588">
      <c r="A588" s="9" t="n">
        <v>587</v>
      </c>
      <c r="B588" s="9" t="inlineStr">
        <is>
          <t>Runway</t>
        </is>
      </c>
      <c r="C588" s="9" t="inlineStr">
        <is>
          <t>Unlimited</t>
        </is>
      </c>
      <c r="D588" s="9" t="n">
        <v>76</v>
      </c>
      <c r="E588" s="9" t="n">
        <v>912</v>
      </c>
      <c r="F588" s="9" t="inlineStr">
        <is>
          <t>per-seat</t>
        </is>
      </c>
    </row>
    <row r="589">
      <c r="A589" s="9" t="n">
        <v>588</v>
      </c>
      <c r="B589" s="9" t="inlineStr">
        <is>
          <t>Pika</t>
        </is>
      </c>
      <c r="C589" s="9" t="inlineStr">
        <is>
          <t>Free</t>
        </is>
      </c>
      <c r="D589" s="9" t="n">
        <v>0</v>
      </c>
      <c r="E589" s="9" t="n">
        <v/>
      </c>
      <c r="F589" s="9" t="inlineStr">
        <is>
          <t>flat</t>
        </is>
      </c>
    </row>
    <row r="590">
      <c r="A590" s="9" t="n">
        <v>589</v>
      </c>
      <c r="B590" s="9" t="inlineStr">
        <is>
          <t>Pika</t>
        </is>
      </c>
      <c r="C590" s="9" t="inlineStr">
        <is>
          <t>Standard</t>
        </is>
      </c>
      <c r="D590" s="9" t="n">
        <v>8</v>
      </c>
      <c r="E590" s="9" t="n">
        <v>96</v>
      </c>
      <c r="F590" s="9" t="inlineStr">
        <is>
          <t>flat</t>
        </is>
      </c>
    </row>
    <row r="591">
      <c r="A591" s="9" t="n">
        <v>590</v>
      </c>
      <c r="B591" s="9" t="inlineStr">
        <is>
          <t>Pika</t>
        </is>
      </c>
      <c r="C591" s="9" t="inlineStr">
        <is>
          <t>Pro</t>
        </is>
      </c>
      <c r="D591" s="9" t="n">
        <v>28</v>
      </c>
      <c r="E591" s="9" t="n">
        <v>336</v>
      </c>
      <c r="F591" s="9" t="inlineStr">
        <is>
          <t>flat</t>
        </is>
      </c>
    </row>
    <row r="592">
      <c r="A592" s="9" t="n">
        <v>591</v>
      </c>
      <c r="B592" s="9" t="inlineStr">
        <is>
          <t>Pika</t>
        </is>
      </c>
      <c r="C592" s="9" t="inlineStr">
        <is>
          <t>Fancy</t>
        </is>
      </c>
      <c r="D592" s="9" t="n">
        <v>76</v>
      </c>
      <c r="E592" s="9" t="n">
        <v>912</v>
      </c>
      <c r="F592" s="9" t="inlineStr">
        <is>
          <t>flat</t>
        </is>
      </c>
    </row>
    <row r="593">
      <c r="A593" s="9" t="n">
        <v>592</v>
      </c>
      <c r="B593" s="9" t="inlineStr">
        <is>
          <t>GitHub Copilot</t>
        </is>
      </c>
      <c r="C593" s="9" t="inlineStr">
        <is>
          <t>Free</t>
        </is>
      </c>
      <c r="D593" s="9" t="n">
        <v>0</v>
      </c>
      <c r="E593" s="9" t="n">
        <v/>
      </c>
      <c r="F593" s="9" t="inlineStr">
        <is>
          <t>flat</t>
        </is>
      </c>
    </row>
    <row r="594">
      <c r="A594" s="9" t="n">
        <v>593</v>
      </c>
      <c r="B594" s="9" t="inlineStr">
        <is>
          <t>GitHub Copilot</t>
        </is>
      </c>
      <c r="C594" s="9" t="inlineStr">
        <is>
          <t>Pro</t>
        </is>
      </c>
      <c r="D594" s="9" t="n">
        <v>10</v>
      </c>
      <c r="E594" s="9" t="n">
        <v/>
      </c>
      <c r="F594" s="9" t="inlineStr">
        <is>
          <t>per-seat</t>
        </is>
      </c>
    </row>
    <row r="595">
      <c r="A595" s="9" t="n">
        <v>594</v>
      </c>
      <c r="B595" s="9" t="inlineStr">
        <is>
          <t>GitHub Copilot</t>
        </is>
      </c>
      <c r="C595" s="9" t="inlineStr">
        <is>
          <t>Pro+</t>
        </is>
      </c>
      <c r="D595" s="9" t="n">
        <v>39</v>
      </c>
      <c r="E595" s="9" t="n">
        <v/>
      </c>
      <c r="F595" s="9" t="inlineStr">
        <is>
          <t>per-seat</t>
        </is>
      </c>
    </row>
    <row r="596">
      <c r="A596" s="9" t="n">
        <v>595</v>
      </c>
      <c r="B596" s="9" t="inlineStr">
        <is>
          <t>GitHub Copilot</t>
        </is>
      </c>
      <c r="C596" s="9" t="inlineStr">
        <is>
          <t>Business</t>
        </is>
      </c>
      <c r="D596" s="9" t="n">
        <v>19</v>
      </c>
      <c r="E596" s="9" t="n">
        <v/>
      </c>
      <c r="F596" s="9" t="inlineStr">
        <is>
          <t>per-seat</t>
        </is>
      </c>
    </row>
    <row r="597">
      <c r="A597" s="9" t="n">
        <v>596</v>
      </c>
      <c r="B597" s="9" t="inlineStr">
        <is>
          <t>GitHub Copilot</t>
        </is>
      </c>
      <c r="C597" s="9" t="inlineStr">
        <is>
          <t>Enterprise</t>
        </is>
      </c>
      <c r="D597" s="9" t="n">
        <v/>
      </c>
      <c r="E597" s="9" t="n">
        <v/>
      </c>
      <c r="F597" s="9" t="inlineStr">
        <is>
          <t>flat</t>
        </is>
      </c>
    </row>
    <row r="598">
      <c r="A598" s="9" t="n">
        <v>597</v>
      </c>
      <c r="B598" s="9" t="inlineStr">
        <is>
          <t>Cursor</t>
        </is>
      </c>
      <c r="C598" s="9" t="inlineStr">
        <is>
          <t>Free</t>
        </is>
      </c>
      <c r="D598" s="9" t="n">
        <v>0</v>
      </c>
      <c r="E598" s="9" t="n">
        <v/>
      </c>
      <c r="F598" s="9" t="inlineStr">
        <is>
          <t>flat</t>
        </is>
      </c>
    </row>
    <row r="599">
      <c r="A599" s="9" t="n">
        <v>598</v>
      </c>
      <c r="B599" s="9" t="inlineStr">
        <is>
          <t>Cursor</t>
        </is>
      </c>
      <c r="C599" s="9" t="inlineStr">
        <is>
          <t>Pro</t>
        </is>
      </c>
      <c r="D599" s="9" t="n">
        <v>20</v>
      </c>
      <c r="E599" s="9" t="n">
        <v/>
      </c>
      <c r="F599" s="9" t="inlineStr">
        <is>
          <t>flat</t>
        </is>
      </c>
    </row>
    <row r="600">
      <c r="A600" s="9" t="n">
        <v>599</v>
      </c>
      <c r="B600" s="9" t="inlineStr">
        <is>
          <t>Cursor</t>
        </is>
      </c>
      <c r="C600" s="9" t="inlineStr">
        <is>
          <t>Business</t>
        </is>
      </c>
      <c r="D600" s="9" t="n">
        <v>40</v>
      </c>
      <c r="E600" s="9" t="n">
        <v/>
      </c>
      <c r="F600" s="9" t="inlineStr">
        <is>
          <t>flat</t>
        </is>
      </c>
    </row>
    <row r="601">
      <c r="A601" s="9" t="n">
        <v>600</v>
      </c>
      <c r="B601" s="9" t="inlineStr">
        <is>
          <t>Codeium</t>
        </is>
      </c>
      <c r="C601" s="9" t="inlineStr">
        <is>
          <t>Free</t>
        </is>
      </c>
      <c r="D601" s="9" t="n">
        <v>0</v>
      </c>
      <c r="E601" s="9" t="n">
        <v/>
      </c>
      <c r="F601" s="9" t="inlineStr">
        <is>
          <t>flat</t>
        </is>
      </c>
    </row>
    <row r="602">
      <c r="A602" s="9" t="n">
        <v>601</v>
      </c>
      <c r="B602" s="9" t="inlineStr">
        <is>
          <t>Codeium</t>
        </is>
      </c>
      <c r="C602" s="9" t="inlineStr">
        <is>
          <t>Pro</t>
        </is>
      </c>
      <c r="D602" s="9" t="n">
        <v>20</v>
      </c>
      <c r="E602" s="9" t="n">
        <v/>
      </c>
      <c r="F602" s="9" t="inlineStr">
        <is>
          <t>flat</t>
        </is>
      </c>
    </row>
    <row r="603">
      <c r="A603" s="9" t="n">
        <v>602</v>
      </c>
      <c r="B603" s="9" t="inlineStr">
        <is>
          <t>Codeium</t>
        </is>
      </c>
      <c r="C603" s="9" t="inlineStr">
        <is>
          <t>Teams</t>
        </is>
      </c>
      <c r="D603" s="9" t="n">
        <v>40</v>
      </c>
      <c r="E603" s="9" t="n">
        <v/>
      </c>
      <c r="F603" s="9" t="inlineStr">
        <is>
          <t>per-seat</t>
        </is>
      </c>
    </row>
    <row r="604">
      <c r="A604" s="9" t="n">
        <v>603</v>
      </c>
      <c r="B604" s="9" t="inlineStr">
        <is>
          <t>Codeium</t>
        </is>
      </c>
      <c r="C604" s="9" t="inlineStr">
        <is>
          <t>Enterprise</t>
        </is>
      </c>
      <c r="D604" s="9" t="n">
        <v/>
      </c>
      <c r="E604" s="9" t="n">
        <v/>
      </c>
      <c r="F604" s="9" t="inlineStr">
        <is>
          <t>flat</t>
        </is>
      </c>
    </row>
    <row r="605">
      <c r="A605" s="9" t="n">
        <v>604</v>
      </c>
      <c r="B605" s="9" t="inlineStr">
        <is>
          <t>ElevenLabs</t>
        </is>
      </c>
      <c r="C605" s="9" t="inlineStr">
        <is>
          <t>Free</t>
        </is>
      </c>
      <c r="D605" s="9" t="n">
        <v>0</v>
      </c>
      <c r="E605" s="9" t="n">
        <v/>
      </c>
      <c r="F605" s="9" t="inlineStr">
        <is>
          <t>flat</t>
        </is>
      </c>
    </row>
    <row r="606">
      <c r="A606" s="9" t="n">
        <v>605</v>
      </c>
      <c r="B606" s="9" t="inlineStr">
        <is>
          <t>ElevenLabs</t>
        </is>
      </c>
      <c r="C606" s="9" t="inlineStr">
        <is>
          <t>Starter</t>
        </is>
      </c>
      <c r="D606" s="9" t="n">
        <v>6</v>
      </c>
      <c r="E606" s="9" t="n">
        <v/>
      </c>
      <c r="F606" s="9" t="inlineStr">
        <is>
          <t>flat</t>
        </is>
      </c>
    </row>
    <row r="607">
      <c r="A607" s="9" t="n">
        <v>606</v>
      </c>
      <c r="B607" s="9" t="inlineStr">
        <is>
          <t>ElevenLabs</t>
        </is>
      </c>
      <c r="C607" s="9" t="inlineStr">
        <is>
          <t>Creator</t>
        </is>
      </c>
      <c r="D607" s="9" t="n">
        <v>22</v>
      </c>
      <c r="E607" s="9" t="n">
        <v/>
      </c>
      <c r="F607" s="9" t="inlineStr">
        <is>
          <t>flat</t>
        </is>
      </c>
    </row>
    <row r="608">
      <c r="A608" s="9" t="n">
        <v>607</v>
      </c>
      <c r="B608" s="9" t="inlineStr">
        <is>
          <t>ElevenLabs</t>
        </is>
      </c>
      <c r="C608" s="9" t="inlineStr">
        <is>
          <t>Pro</t>
        </is>
      </c>
      <c r="D608" s="9" t="n">
        <v>99</v>
      </c>
      <c r="E608" s="9" t="n">
        <v/>
      </c>
      <c r="F608" s="9" t="inlineStr">
        <is>
          <t>flat</t>
        </is>
      </c>
    </row>
    <row r="609">
      <c r="A609" s="9" t="n">
        <v>608</v>
      </c>
      <c r="B609" s="9" t="inlineStr">
        <is>
          <t>Murf AI</t>
        </is>
      </c>
      <c r="C609" s="9" t="inlineStr">
        <is>
          <t>Free</t>
        </is>
      </c>
      <c r="D609" s="9" t="n">
        <v>0</v>
      </c>
      <c r="E609" s="9" t="n">
        <v/>
      </c>
      <c r="F609" s="9" t="inlineStr">
        <is>
          <t>flat</t>
        </is>
      </c>
    </row>
    <row r="610">
      <c r="A610" s="9" t="n">
        <v>609</v>
      </c>
      <c r="B610" s="9" t="inlineStr">
        <is>
          <t>Murf AI</t>
        </is>
      </c>
      <c r="C610" s="9" t="inlineStr">
        <is>
          <t>Creator</t>
        </is>
      </c>
      <c r="D610" s="9" t="n">
        <v>19</v>
      </c>
      <c r="E610" s="9" t="n">
        <v>228</v>
      </c>
      <c r="F610" s="9" t="inlineStr">
        <is>
          <t>flat</t>
        </is>
      </c>
    </row>
    <row r="611">
      <c r="A611" s="9" t="n">
        <v>610</v>
      </c>
      <c r="B611" s="9" t="inlineStr">
        <is>
          <t>Murf AI</t>
        </is>
      </c>
      <c r="C611" s="9" t="inlineStr">
        <is>
          <t>Business</t>
        </is>
      </c>
      <c r="D611" s="9" t="n">
        <v>66</v>
      </c>
      <c r="E611" s="9" t="n">
        <v>792</v>
      </c>
      <c r="F611" s="9" t="inlineStr">
        <is>
          <t>flat</t>
        </is>
      </c>
    </row>
    <row r="612">
      <c r="A612" s="9" t="n">
        <v>611</v>
      </c>
      <c r="B612" s="9" t="inlineStr">
        <is>
          <t>Murf AI</t>
        </is>
      </c>
      <c r="C612" s="9" t="inlineStr">
        <is>
          <t>Enterprise</t>
        </is>
      </c>
      <c r="D612" s="9" t="n">
        <v/>
      </c>
      <c r="E612" s="9" t="n">
        <v/>
      </c>
      <c r="F612" s="9" t="inlineStr">
        <is>
          <t>flat</t>
        </is>
      </c>
    </row>
    <row r="613">
      <c r="A613" s="9" t="n">
        <v>612</v>
      </c>
      <c r="B613" s="9" t="inlineStr">
        <is>
          <t>Play.ht</t>
        </is>
      </c>
      <c r="C613" s="9" t="inlineStr">
        <is>
          <t>Free</t>
        </is>
      </c>
      <c r="D613" s="9" t="n">
        <v>0</v>
      </c>
      <c r="E613" s="9" t="n">
        <v/>
      </c>
      <c r="F613" s="9" t="inlineStr">
        <is>
          <t>flat</t>
        </is>
      </c>
    </row>
    <row r="614">
      <c r="A614" s="9" t="n">
        <v>613</v>
      </c>
      <c r="B614" s="9" t="inlineStr">
        <is>
          <t>Play.ht</t>
        </is>
      </c>
      <c r="C614" s="9" t="inlineStr">
        <is>
          <t>Creator</t>
        </is>
      </c>
      <c r="D614" s="9" t="n">
        <v>39</v>
      </c>
      <c r="E614" s="9" t="n">
        <v/>
      </c>
      <c r="F614" s="9" t="inlineStr">
        <is>
          <t>flat</t>
        </is>
      </c>
    </row>
    <row r="615">
      <c r="A615" s="9" t="n">
        <v>614</v>
      </c>
      <c r="B615" s="9" t="inlineStr">
        <is>
          <t>Play.ht</t>
        </is>
      </c>
      <c r="C615" s="9" t="inlineStr">
        <is>
          <t>Pro</t>
        </is>
      </c>
      <c r="D615" s="9" t="n">
        <v>99</v>
      </c>
      <c r="E615" s="9" t="n">
        <v/>
      </c>
      <c r="F615" s="9" t="inlineStr">
        <is>
          <t>flat</t>
        </is>
      </c>
    </row>
    <row r="616">
      <c r="A616" s="9" t="n">
        <v>615</v>
      </c>
      <c r="B616" s="9" t="inlineStr">
        <is>
          <t>n8n</t>
        </is>
      </c>
      <c r="C616" s="9" t="inlineStr">
        <is>
          <t>Free</t>
        </is>
      </c>
      <c r="D616" s="9" t="n">
        <v>0</v>
      </c>
      <c r="E616" s="9" t="n">
        <v/>
      </c>
      <c r="F616" s="9" t="inlineStr">
        <is>
          <t>flat</t>
        </is>
      </c>
    </row>
    <row r="617">
      <c r="A617" s="9" t="n">
        <v>616</v>
      </c>
      <c r="B617" s="9" t="inlineStr">
        <is>
          <t>n8n</t>
        </is>
      </c>
      <c r="C617" s="9" t="inlineStr">
        <is>
          <t>Starter</t>
        </is>
      </c>
      <c r="D617" s="9" t="n">
        <v>24</v>
      </c>
      <c r="E617" s="9" t="n">
        <v/>
      </c>
      <c r="F617" s="9" t="inlineStr">
        <is>
          <t>flat</t>
        </is>
      </c>
    </row>
    <row r="618">
      <c r="A618" s="9" t="n">
        <v>617</v>
      </c>
      <c r="B618" s="9" t="inlineStr">
        <is>
          <t>n8n</t>
        </is>
      </c>
      <c r="C618" s="9" t="inlineStr">
        <is>
          <t>Pro</t>
        </is>
      </c>
      <c r="D618" s="9" t="n">
        <v>60</v>
      </c>
      <c r="E618" s="9" t="n">
        <v/>
      </c>
      <c r="F618" s="9" t="inlineStr">
        <is>
          <t>flat</t>
        </is>
      </c>
    </row>
    <row r="619">
      <c r="A619" s="9" t="n">
        <v>618</v>
      </c>
      <c r="B619" s="9" t="inlineStr">
        <is>
          <t>Make (Integromat)</t>
        </is>
      </c>
      <c r="C619" s="9" t="inlineStr">
        <is>
          <t>Free</t>
        </is>
      </c>
      <c r="D619" s="9" t="n">
        <v>0</v>
      </c>
      <c r="E619" s="9" t="n">
        <v/>
      </c>
      <c r="F619" s="9" t="inlineStr">
        <is>
          <t>flat</t>
        </is>
      </c>
    </row>
    <row r="620">
      <c r="A620" s="9" t="n">
        <v>619</v>
      </c>
      <c r="B620" s="9" t="inlineStr">
        <is>
          <t>Make (Integromat)</t>
        </is>
      </c>
      <c r="C620" s="9" t="inlineStr">
        <is>
          <t>Core</t>
        </is>
      </c>
      <c r="D620" s="9" t="n">
        <v>10</v>
      </c>
      <c r="E620" s="9" t="n">
        <v/>
      </c>
      <c r="F620" s="9" t="inlineStr">
        <is>
          <t>flat</t>
        </is>
      </c>
    </row>
    <row r="621">
      <c r="A621" s="9" t="n">
        <v>620</v>
      </c>
      <c r="B621" s="9" t="inlineStr">
        <is>
          <t>Make (Integromat)</t>
        </is>
      </c>
      <c r="C621" s="9" t="inlineStr">
        <is>
          <t>Pro</t>
        </is>
      </c>
      <c r="D621" s="9" t="n">
        <v>18</v>
      </c>
      <c r="E621" s="9" t="n">
        <v/>
      </c>
      <c r="F621" s="9" t="inlineStr">
        <is>
          <t>flat</t>
        </is>
      </c>
    </row>
    <row r="622">
      <c r="A622" s="9" t="n">
        <v>621</v>
      </c>
      <c r="B622" s="9" t="inlineStr">
        <is>
          <t>Perplexity AI</t>
        </is>
      </c>
      <c r="C622" s="9" t="inlineStr">
        <is>
          <t>Free</t>
        </is>
      </c>
      <c r="D622" s="9" t="n">
        <v>0</v>
      </c>
      <c r="E622" s="9" t="n">
        <v/>
      </c>
      <c r="F622" s="9" t="inlineStr">
        <is>
          <t>flat</t>
        </is>
      </c>
    </row>
    <row r="623">
      <c r="A623" s="9" t="n">
        <v>622</v>
      </c>
      <c r="B623" s="9" t="inlineStr">
        <is>
          <t>Perplexity AI</t>
        </is>
      </c>
      <c r="C623" s="9" t="inlineStr">
        <is>
          <t>Pro</t>
        </is>
      </c>
      <c r="D623" s="9" t="n">
        <v>20</v>
      </c>
      <c r="E623" s="9" t="n">
        <v/>
      </c>
      <c r="F623" s="9" t="inlineStr">
        <is>
          <t>flat</t>
        </is>
      </c>
    </row>
    <row r="624">
      <c r="A624" s="9" t="n">
        <v>623</v>
      </c>
      <c r="B624" s="9" t="inlineStr">
        <is>
          <t>OpenAI API</t>
        </is>
      </c>
      <c r="C624" s="9" t="inlineStr">
        <is>
          <t>Pay per use</t>
        </is>
      </c>
      <c r="D624" s="9" t="n">
        <v>0</v>
      </c>
      <c r="E624" s="9" t="n">
        <v/>
      </c>
      <c r="F624" s="9" t="inlineStr">
        <is>
          <t>flat</t>
        </is>
      </c>
    </row>
    <row r="625">
      <c r="A625" s="9" t="n">
        <v>624</v>
      </c>
      <c r="B625" s="9" t="inlineStr">
        <is>
          <t>Hugging Face</t>
        </is>
      </c>
      <c r="C625" s="9" t="inlineStr">
        <is>
          <t>Free</t>
        </is>
      </c>
      <c r="D625" s="9" t="n">
        <v>0</v>
      </c>
      <c r="E625" s="9" t="n">
        <v/>
      </c>
      <c r="F625" s="9" t="inlineStr">
        <is>
          <t>flat</t>
        </is>
      </c>
    </row>
    <row r="626">
      <c r="A626" s="9" t="n">
        <v>625</v>
      </c>
      <c r="B626" s="9" t="inlineStr">
        <is>
          <t>Hugging Face</t>
        </is>
      </c>
      <c r="C626" s="9" t="inlineStr">
        <is>
          <t>Pro</t>
        </is>
      </c>
      <c r="D626" s="9" t="n">
        <v>9</v>
      </c>
      <c r="E626" s="9" t="n">
        <v/>
      </c>
      <c r="F626" s="9" t="inlineStr">
        <is>
          <t>flat</t>
        </is>
      </c>
    </row>
    <row r="627">
      <c r="A627" s="9" t="n">
        <v>626</v>
      </c>
      <c r="B627" s="9" t="inlineStr">
        <is>
          <t>Hugging Face</t>
        </is>
      </c>
      <c r="C627" s="9" t="inlineStr">
        <is>
          <t>Enterprise</t>
        </is>
      </c>
      <c r="D627" s="9" t="n">
        <v>20</v>
      </c>
      <c r="E627" s="9" t="n">
        <v/>
      </c>
      <c r="F627" s="9" t="inlineStr">
        <is>
          <t>flat</t>
        </is>
      </c>
    </row>
    <row r="628">
      <c r="A628" s="9" t="n">
        <v>627</v>
      </c>
      <c r="B628" s="9" t="inlineStr">
        <is>
          <t>Replicate</t>
        </is>
      </c>
      <c r="C628" s="9" t="inlineStr">
        <is>
          <t>Pay per use</t>
        </is>
      </c>
      <c r="D628" s="9" t="n">
        <v>0</v>
      </c>
      <c r="E628" s="9" t="n">
        <v/>
      </c>
      <c r="F628" s="9" t="inlineStr">
        <is>
          <t>flat</t>
        </is>
      </c>
    </row>
    <row r="629">
      <c r="A629" s="9" t="n">
        <v>628</v>
      </c>
      <c r="B629" s="9" t="inlineStr">
        <is>
          <t>Writesonic</t>
        </is>
      </c>
      <c r="C629" s="9" t="inlineStr">
        <is>
          <t>Free Trial</t>
        </is>
      </c>
      <c r="D629" s="9" t="n">
        <v>0</v>
      </c>
      <c r="E629" s="9" t="n">
        <v/>
      </c>
      <c r="F629" s="9" t="inlineStr">
        <is>
          <t>flat</t>
        </is>
      </c>
    </row>
    <row r="630">
      <c r="A630" s="9" t="n">
        <v>629</v>
      </c>
      <c r="B630" s="9" t="inlineStr">
        <is>
          <t>Writesonic</t>
        </is>
      </c>
      <c r="C630" s="9" t="inlineStr">
        <is>
          <t>Starter</t>
        </is>
      </c>
      <c r="D630" s="9" t="n">
        <v>79</v>
      </c>
      <c r="E630" s="9" t="n">
        <v/>
      </c>
      <c r="F630" s="9" t="inlineStr">
        <is>
          <t>flat</t>
        </is>
      </c>
    </row>
    <row r="631">
      <c r="A631" s="9" t="n">
        <v>630</v>
      </c>
      <c r="B631" s="9" t="inlineStr">
        <is>
          <t>Writesonic</t>
        </is>
      </c>
      <c r="C631" s="9" t="inlineStr">
        <is>
          <t>Basic</t>
        </is>
      </c>
      <c r="D631" s="9" t="n">
        <v>199</v>
      </c>
      <c r="E631" s="9" t="n">
        <v/>
      </c>
      <c r="F631" s="9" t="inlineStr">
        <is>
          <t>flat</t>
        </is>
      </c>
    </row>
    <row r="632">
      <c r="A632" s="9" t="n">
        <v>631</v>
      </c>
      <c r="B632" s="9" t="inlineStr">
        <is>
          <t>Notion AI</t>
        </is>
      </c>
      <c r="C632" s="9" t="inlineStr">
        <is>
          <t>Add-on</t>
        </is>
      </c>
      <c r="D632" s="9" t="n">
        <v>10</v>
      </c>
      <c r="E632" s="9" t="n">
        <v/>
      </c>
      <c r="F632" s="9" t="inlineStr">
        <is>
          <t>flat</t>
        </is>
      </c>
    </row>
    <row r="633">
      <c r="A633" s="9" t="n">
        <v>632</v>
      </c>
      <c r="B633" s="9" t="inlineStr">
        <is>
          <t>Rytr</t>
        </is>
      </c>
      <c r="C633" s="9" t="inlineStr">
        <is>
          <t>Free</t>
        </is>
      </c>
      <c r="D633" s="9" t="n">
        <v>0</v>
      </c>
      <c r="E633" s="9" t="n">
        <v/>
      </c>
      <c r="F633" s="9" t="inlineStr">
        <is>
          <t>flat</t>
        </is>
      </c>
    </row>
    <row r="634">
      <c r="A634" s="9" t="n">
        <v>633</v>
      </c>
      <c r="B634" s="9" t="inlineStr">
        <is>
          <t>Rytr</t>
        </is>
      </c>
      <c r="C634" s="9" t="inlineStr">
        <is>
          <t>Saver</t>
        </is>
      </c>
      <c r="D634" s="9" t="n">
        <v>9</v>
      </c>
      <c r="E634" s="9" t="n">
        <v/>
      </c>
      <c r="F634" s="9" t="inlineStr">
        <is>
          <t>flat</t>
        </is>
      </c>
    </row>
    <row r="635">
      <c r="A635" s="9" t="n">
        <v>634</v>
      </c>
      <c r="B635" s="9" t="inlineStr">
        <is>
          <t>Rytr</t>
        </is>
      </c>
      <c r="C635" s="9" t="inlineStr">
        <is>
          <t>Unlimited</t>
        </is>
      </c>
      <c r="D635" s="9" t="n">
        <v>29</v>
      </c>
      <c r="E635" s="9" t="n">
        <v/>
      </c>
      <c r="F635" s="9" t="inlineStr">
        <is>
          <t>flat</t>
        </is>
      </c>
    </row>
    <row r="636">
      <c r="A636" s="9" t="n">
        <v>635</v>
      </c>
      <c r="B636" s="9" t="inlineStr">
        <is>
          <t>Wordtune</t>
        </is>
      </c>
      <c r="C636" s="9" t="inlineStr">
        <is>
          <t>Basic</t>
        </is>
      </c>
      <c r="D636" s="9" t="n">
        <v>0</v>
      </c>
      <c r="E636" s="9" t="n">
        <v/>
      </c>
      <c r="F636" s="9" t="inlineStr">
        <is>
          <t>flat</t>
        </is>
      </c>
    </row>
    <row r="637">
      <c r="A637" s="9" t="n">
        <v>636</v>
      </c>
      <c r="B637" s="9" t="inlineStr">
        <is>
          <t>Wordtune</t>
        </is>
      </c>
      <c r="C637" s="9" t="inlineStr">
        <is>
          <t>Advanced</t>
        </is>
      </c>
      <c r="D637" s="9" t="n">
        <v>6.99</v>
      </c>
      <c r="E637" s="9" t="n">
        <v>83.88</v>
      </c>
      <c r="F637" s="9" t="inlineStr">
        <is>
          <t>flat</t>
        </is>
      </c>
    </row>
    <row r="638">
      <c r="A638" s="9" t="n">
        <v>637</v>
      </c>
      <c r="B638" s="9" t="inlineStr">
        <is>
          <t>Wordtune</t>
        </is>
      </c>
      <c r="C638" s="9" t="inlineStr">
        <is>
          <t>Unlimited</t>
        </is>
      </c>
      <c r="D638" s="9" t="n">
        <v>9.99</v>
      </c>
      <c r="E638" s="9" t="n">
        <v>119.88</v>
      </c>
      <c r="F638" s="9" t="inlineStr">
        <is>
          <t>flat</t>
        </is>
      </c>
    </row>
    <row r="639">
      <c r="A639" s="9" t="n">
        <v>638</v>
      </c>
      <c r="B639" s="9" t="inlineStr">
        <is>
          <t>QuillBot</t>
        </is>
      </c>
      <c r="C639" s="9" t="inlineStr">
        <is>
          <t>Free</t>
        </is>
      </c>
      <c r="D639" s="9" t="n">
        <v>0</v>
      </c>
      <c r="E639" s="9" t="n">
        <v/>
      </c>
      <c r="F639" s="9" t="inlineStr">
        <is>
          <t>flat</t>
        </is>
      </c>
    </row>
    <row r="640">
      <c r="A640" s="9" t="n">
        <v>639</v>
      </c>
      <c r="B640" s="9" t="inlineStr">
        <is>
          <t>QuillBot</t>
        </is>
      </c>
      <c r="C640" s="9" t="inlineStr">
        <is>
          <t>Premium</t>
        </is>
      </c>
      <c r="D640" s="9" t="n">
        <v>13</v>
      </c>
      <c r="E640" s="9" t="n">
        <v/>
      </c>
      <c r="F640" s="9" t="inlineStr">
        <is>
          <t>flat</t>
        </is>
      </c>
    </row>
    <row r="641">
      <c r="A641" s="9" t="n">
        <v>640</v>
      </c>
      <c r="B641" s="9" t="inlineStr">
        <is>
          <t>Sudowrite</t>
        </is>
      </c>
      <c r="C641" s="9" t="inlineStr">
        <is>
          <t>Hobby &amp; Student</t>
        </is>
      </c>
      <c r="D641" s="9" t="n">
        <v>10</v>
      </c>
      <c r="E641" s="9" t="n">
        <v/>
      </c>
      <c r="F641" s="9" t="inlineStr">
        <is>
          <t>flat</t>
        </is>
      </c>
    </row>
    <row r="642">
      <c r="A642" s="9" t="n">
        <v>641</v>
      </c>
      <c r="B642" s="9" t="inlineStr">
        <is>
          <t>Sudowrite</t>
        </is>
      </c>
      <c r="C642" s="9" t="inlineStr">
        <is>
          <t>Professional</t>
        </is>
      </c>
      <c r="D642" s="9" t="n">
        <v>22</v>
      </c>
      <c r="E642" s="9" t="n">
        <v/>
      </c>
      <c r="F642" s="9" t="inlineStr">
        <is>
          <t>flat</t>
        </is>
      </c>
    </row>
    <row r="643">
      <c r="A643" s="9" t="n">
        <v>642</v>
      </c>
      <c r="B643" s="9" t="inlineStr">
        <is>
          <t>Sudowrite</t>
        </is>
      </c>
      <c r="C643" s="9" t="inlineStr">
        <is>
          <t>Max</t>
        </is>
      </c>
      <c r="D643" s="9" t="n">
        <v>44</v>
      </c>
      <c r="E643" s="9" t="n">
        <v/>
      </c>
      <c r="F643" s="9" t="inlineStr">
        <is>
          <t>flat</t>
        </is>
      </c>
    </row>
    <row r="644">
      <c r="A644" s="9" t="n">
        <v>643</v>
      </c>
      <c r="B644" s="9" t="inlineStr">
        <is>
          <t>ProWritingAid</t>
        </is>
      </c>
      <c r="C644" s="9" t="inlineStr">
        <is>
          <t>Free</t>
        </is>
      </c>
      <c r="D644" s="9" t="n">
        <v>0</v>
      </c>
      <c r="E644" s="9" t="n">
        <v/>
      </c>
      <c r="F644" s="9" t="inlineStr">
        <is>
          <t>flat</t>
        </is>
      </c>
    </row>
    <row r="645">
      <c r="A645" s="9" t="n">
        <v>644</v>
      </c>
      <c r="B645" s="9" t="inlineStr">
        <is>
          <t>ProWritingAid</t>
        </is>
      </c>
      <c r="C645" s="9" t="inlineStr">
        <is>
          <t>Premium</t>
        </is>
      </c>
      <c r="D645" s="9" t="n">
        <v>10</v>
      </c>
      <c r="E645" s="9" t="n">
        <v/>
      </c>
      <c r="F645" s="9" t="inlineStr">
        <is>
          <t>flat</t>
        </is>
      </c>
    </row>
    <row r="646">
      <c r="A646" s="9" t="n">
        <v>645</v>
      </c>
      <c r="B646" s="9" t="inlineStr">
        <is>
          <t>ProWritingAid</t>
        </is>
      </c>
      <c r="C646" s="9" t="inlineStr">
        <is>
          <t>Premium+</t>
        </is>
      </c>
      <c r="D646" s="9" t="n">
        <v>12</v>
      </c>
      <c r="E646" s="9" t="n">
        <v/>
      </c>
      <c r="F646" s="9" t="inlineStr">
        <is>
          <t>flat</t>
        </is>
      </c>
    </row>
    <row r="647">
      <c r="A647" s="9" t="n">
        <v>646</v>
      </c>
      <c r="B647" s="9" t="inlineStr">
        <is>
          <t>Copysmith</t>
        </is>
      </c>
      <c r="C647" s="9" t="inlineStr">
        <is>
          <t>Starter</t>
        </is>
      </c>
      <c r="D647" s="9" t="n">
        <v>19</v>
      </c>
      <c r="E647" s="9" t="n">
        <v/>
      </c>
      <c r="F647" s="9" t="inlineStr">
        <is>
          <t>flat</t>
        </is>
      </c>
    </row>
    <row r="648">
      <c r="A648" s="9" t="n">
        <v>647</v>
      </c>
      <c r="B648" s="9" t="inlineStr">
        <is>
          <t>Copysmith</t>
        </is>
      </c>
      <c r="C648" s="9" t="inlineStr">
        <is>
          <t>Professional</t>
        </is>
      </c>
      <c r="D648" s="9" t="n">
        <v>49</v>
      </c>
      <c r="E648" s="9" t="n">
        <v/>
      </c>
      <c r="F648" s="9" t="inlineStr">
        <is>
          <t>flat</t>
        </is>
      </c>
    </row>
    <row r="649">
      <c r="A649" s="9" t="n">
        <v>648</v>
      </c>
      <c r="B649" s="9" t="inlineStr">
        <is>
          <t>Copysmith</t>
        </is>
      </c>
      <c r="C649" s="9" t="inlineStr">
        <is>
          <t>Enterprise</t>
        </is>
      </c>
      <c r="D649" s="9" t="n">
        <v/>
      </c>
      <c r="E649" s="9" t="n">
        <v/>
      </c>
      <c r="F649" s="9" t="inlineStr">
        <is>
          <t>flat</t>
        </is>
      </c>
    </row>
    <row r="650">
      <c r="A650" s="9" t="n">
        <v>649</v>
      </c>
      <c r="B650" s="9" t="inlineStr">
        <is>
          <t>AI21 Studio</t>
        </is>
      </c>
      <c r="C650" s="9" t="inlineStr">
        <is>
          <t>Free</t>
        </is>
      </c>
      <c r="D650" s="9" t="n">
        <v>0</v>
      </c>
      <c r="E650" s="9" t="n">
        <v/>
      </c>
      <c r="F650" s="9" t="inlineStr">
        <is>
          <t>flat</t>
        </is>
      </c>
    </row>
    <row r="651">
      <c r="A651" s="9" t="n">
        <v>650</v>
      </c>
      <c r="B651" s="9" t="inlineStr">
        <is>
          <t>AI21 Studio</t>
        </is>
      </c>
      <c r="C651" s="9" t="inlineStr">
        <is>
          <t>Teams</t>
        </is>
      </c>
      <c r="D651" s="9" t="n">
        <v>39</v>
      </c>
      <c r="E651" s="9" t="n">
        <v/>
      </c>
      <c r="F651" s="9" t="inlineStr">
        <is>
          <t>flat</t>
        </is>
      </c>
    </row>
    <row r="652">
      <c r="A652" s="9" t="n">
        <v>651</v>
      </c>
      <c r="B652" s="9" t="inlineStr">
        <is>
          <t>AI21 Studio</t>
        </is>
      </c>
      <c r="C652" s="9" t="inlineStr">
        <is>
          <t>Enterprise</t>
        </is>
      </c>
      <c r="D652" s="9" t="n">
        <v/>
      </c>
      <c r="E652" s="9" t="n">
        <v/>
      </c>
      <c r="F652" s="9" t="inlineStr">
        <is>
          <t>flat</t>
        </is>
      </c>
    </row>
    <row r="653">
      <c r="A653" s="9" t="n">
        <v>652</v>
      </c>
      <c r="B653" s="9" t="inlineStr">
        <is>
          <t>Canva AI</t>
        </is>
      </c>
      <c r="C653" s="9" t="inlineStr">
        <is>
          <t>Free</t>
        </is>
      </c>
      <c r="D653" s="9" t="n">
        <v>0</v>
      </c>
      <c r="E653" s="9" t="n">
        <v/>
      </c>
      <c r="F653" s="9" t="inlineStr">
        <is>
          <t>flat</t>
        </is>
      </c>
    </row>
    <row r="654">
      <c r="A654" s="9" t="n">
        <v>653</v>
      </c>
      <c r="B654" s="9" t="inlineStr">
        <is>
          <t>Canva AI</t>
        </is>
      </c>
      <c r="C654" s="9" t="inlineStr">
        <is>
          <t>Pro</t>
        </is>
      </c>
      <c r="D654" s="9" t="n">
        <v>15</v>
      </c>
      <c r="E654" s="9" t="n">
        <v/>
      </c>
      <c r="F654" s="9" t="inlineStr">
        <is>
          <t>flat</t>
        </is>
      </c>
    </row>
    <row r="655">
      <c r="A655" s="9" t="n">
        <v>654</v>
      </c>
      <c r="B655" s="9" t="inlineStr">
        <is>
          <t>Canva AI</t>
        </is>
      </c>
      <c r="C655" s="9" t="inlineStr">
        <is>
          <t>Teams</t>
        </is>
      </c>
      <c r="D655" s="9" t="n">
        <v>10</v>
      </c>
      <c r="E655" s="9" t="n">
        <v/>
      </c>
      <c r="F655" s="9" t="inlineStr">
        <is>
          <t>flat</t>
        </is>
      </c>
    </row>
    <row r="656">
      <c r="A656" s="9" t="n">
        <v>655</v>
      </c>
      <c r="B656" s="9" t="inlineStr">
        <is>
          <t>Ideogram</t>
        </is>
      </c>
      <c r="C656" s="9" t="inlineStr">
        <is>
          <t>Free</t>
        </is>
      </c>
      <c r="D656" s="9" t="n">
        <v>0</v>
      </c>
      <c r="E656" s="9" t="n">
        <v/>
      </c>
      <c r="F656" s="9" t="inlineStr">
        <is>
          <t>flat</t>
        </is>
      </c>
    </row>
    <row r="657">
      <c r="A657" s="9" t="n">
        <v>656</v>
      </c>
      <c r="B657" s="9" t="inlineStr">
        <is>
          <t>Ideogram</t>
        </is>
      </c>
      <c r="C657" s="9" t="inlineStr">
        <is>
          <t>Basic</t>
        </is>
      </c>
      <c r="D657" s="9" t="n">
        <v>8</v>
      </c>
      <c r="E657" s="9" t="n">
        <v/>
      </c>
      <c r="F657" s="9" t="inlineStr">
        <is>
          <t>flat</t>
        </is>
      </c>
    </row>
    <row r="658">
      <c r="A658" s="9" t="n">
        <v>657</v>
      </c>
      <c r="B658" s="9" t="inlineStr">
        <is>
          <t>Ideogram</t>
        </is>
      </c>
      <c r="C658" s="9" t="inlineStr">
        <is>
          <t>Plus</t>
        </is>
      </c>
      <c r="D658" s="9" t="n">
        <v>20</v>
      </c>
      <c r="E658" s="9" t="n">
        <v/>
      </c>
      <c r="F658" s="9" t="inlineStr">
        <is>
          <t>flat</t>
        </is>
      </c>
    </row>
    <row r="659">
      <c r="A659" s="9" t="n">
        <v>658</v>
      </c>
      <c r="B659" s="9" t="inlineStr">
        <is>
          <t>Kling AI</t>
        </is>
      </c>
      <c r="C659" s="9" t="inlineStr">
        <is>
          <t>Free</t>
        </is>
      </c>
      <c r="D659" s="9" t="n">
        <v>0</v>
      </c>
      <c r="E659" s="9" t="n">
        <v/>
      </c>
      <c r="F659" s="9" t="inlineStr">
        <is>
          <t>flat</t>
        </is>
      </c>
    </row>
    <row r="660">
      <c r="A660" s="9" t="n">
        <v>659</v>
      </c>
      <c r="B660" s="9" t="inlineStr">
        <is>
          <t>Kling AI</t>
        </is>
      </c>
      <c r="C660" s="9" t="inlineStr">
        <is>
          <t>Standard</t>
        </is>
      </c>
      <c r="D660" s="9" t="n">
        <v>10</v>
      </c>
      <c r="E660" s="9" t="n">
        <v/>
      </c>
      <c r="F660" s="9" t="inlineStr">
        <is>
          <t>flat</t>
        </is>
      </c>
    </row>
    <row r="661">
      <c r="A661" s="9" t="n">
        <v>660</v>
      </c>
      <c r="B661" s="9" t="inlineStr">
        <is>
          <t>Kling AI</t>
        </is>
      </c>
      <c r="C661" s="9" t="inlineStr">
        <is>
          <t>Pro</t>
        </is>
      </c>
      <c r="D661" s="9" t="n">
        <v>35</v>
      </c>
      <c r="E661" s="9" t="n">
        <v/>
      </c>
      <c r="F661" s="9" t="inlineStr">
        <is>
          <t>flat</t>
        </is>
      </c>
    </row>
    <row r="662">
      <c r="A662" s="9" t="n">
        <v>661</v>
      </c>
      <c r="B662" s="9" t="inlineStr">
        <is>
          <t>Luma AI (Dream Machine)</t>
        </is>
      </c>
      <c r="C662" s="9" t="inlineStr">
        <is>
          <t>Free</t>
        </is>
      </c>
      <c r="D662" s="9" t="n">
        <v>0</v>
      </c>
      <c r="E662" s="9" t="n">
        <v/>
      </c>
      <c r="F662" s="9" t="inlineStr">
        <is>
          <t>flat</t>
        </is>
      </c>
    </row>
    <row r="663">
      <c r="A663" s="9" t="n">
        <v>662</v>
      </c>
      <c r="B663" s="9" t="inlineStr">
        <is>
          <t>Luma AI (Dream Machine)</t>
        </is>
      </c>
      <c r="C663" s="9" t="inlineStr">
        <is>
          <t>Plus</t>
        </is>
      </c>
      <c r="D663" s="9" t="n">
        <v>30</v>
      </c>
      <c r="E663" s="9" t="n">
        <v/>
      </c>
      <c r="F663" s="9" t="inlineStr">
        <is>
          <t>flat</t>
        </is>
      </c>
    </row>
    <row r="664">
      <c r="A664" s="9" t="n">
        <v>663</v>
      </c>
      <c r="B664" s="9" t="inlineStr">
        <is>
          <t>Luma AI (Dream Machine)</t>
        </is>
      </c>
      <c r="C664" s="9" t="inlineStr">
        <is>
          <t>Pro</t>
        </is>
      </c>
      <c r="D664" s="9" t="n">
        <v>100</v>
      </c>
      <c r="E664" s="9" t="n">
        <v/>
      </c>
      <c r="F664" s="9" t="inlineStr">
        <is>
          <t>flat</t>
        </is>
      </c>
    </row>
    <row r="665">
      <c r="A665" s="9" t="n">
        <v>664</v>
      </c>
      <c r="B665" s="9" t="inlineStr">
        <is>
          <t>Topaz Labs AI</t>
        </is>
      </c>
      <c r="C665" s="9" t="inlineStr">
        <is>
          <t>Photo AI</t>
        </is>
      </c>
      <c r="D665" s="9" t="n">
        <v>199</v>
      </c>
      <c r="E665" s="9" t="n">
        <v>2388</v>
      </c>
      <c r="F665" s="9" t="inlineStr">
        <is>
          <t>flat</t>
        </is>
      </c>
    </row>
    <row r="666">
      <c r="A666" s="9" t="n">
        <v>665</v>
      </c>
      <c r="B666" s="9" t="inlineStr">
        <is>
          <t>Topaz Labs AI</t>
        </is>
      </c>
      <c r="C666" s="9" t="inlineStr">
        <is>
          <t>Video AI</t>
        </is>
      </c>
      <c r="D666" s="9" t="n">
        <v>299</v>
      </c>
      <c r="E666" s="9" t="n">
        <v>3588</v>
      </c>
      <c r="F666" s="9" t="inlineStr">
        <is>
          <t>flat</t>
        </is>
      </c>
    </row>
    <row r="667">
      <c r="A667" s="9" t="n">
        <v>666</v>
      </c>
      <c r="B667" s="9" t="inlineStr">
        <is>
          <t>Topaz Labs AI</t>
        </is>
      </c>
      <c r="C667" s="9" t="inlineStr">
        <is>
          <t>Bundle</t>
        </is>
      </c>
      <c r="D667" s="9" t="n">
        <v>399</v>
      </c>
      <c r="E667" s="9" t="n">
        <v>4788</v>
      </c>
      <c r="F667" s="9" t="inlineStr">
        <is>
          <t>flat</t>
        </is>
      </c>
    </row>
    <row r="668">
      <c r="A668" s="9" t="n">
        <v>667</v>
      </c>
      <c r="B668" s="9" t="inlineStr">
        <is>
          <t>Luminar Neo</t>
        </is>
      </c>
      <c r="C668" s="9" t="inlineStr">
        <is>
          <t>Monthly</t>
        </is>
      </c>
      <c r="D668" s="9" t="n">
        <v>14</v>
      </c>
      <c r="E668" s="9" t="n">
        <v/>
      </c>
      <c r="F668" s="9" t="inlineStr">
        <is>
          <t>flat</t>
        </is>
      </c>
    </row>
    <row r="669">
      <c r="A669" s="9" t="n">
        <v>668</v>
      </c>
      <c r="B669" s="9" t="inlineStr">
        <is>
          <t>Luminar Neo</t>
        </is>
      </c>
      <c r="C669" s="9" t="inlineStr">
        <is>
          <t>Annual</t>
        </is>
      </c>
      <c r="D669" s="9" t="n">
        <v>9</v>
      </c>
      <c r="E669" s="9" t="n">
        <v/>
      </c>
      <c r="F669" s="9" t="inlineStr">
        <is>
          <t>flat</t>
        </is>
      </c>
    </row>
    <row r="670">
      <c r="A670" s="9" t="n">
        <v>669</v>
      </c>
      <c r="B670" s="9" t="inlineStr">
        <is>
          <t>Luminar Neo</t>
        </is>
      </c>
      <c r="C670" s="9" t="inlineStr">
        <is>
          <t>Lifetime</t>
        </is>
      </c>
      <c r="D670" s="9" t="n">
        <v>99</v>
      </c>
      <c r="E670" s="9" t="n">
        <v/>
      </c>
      <c r="F670" s="9" t="inlineStr">
        <is>
          <t>flat</t>
        </is>
      </c>
    </row>
    <row r="671">
      <c r="A671" s="9" t="n">
        <v>670</v>
      </c>
      <c r="B671" s="9" t="inlineStr">
        <is>
          <t>Remove.bg</t>
        </is>
      </c>
      <c r="C671" s="9" t="inlineStr">
        <is>
          <t>Free</t>
        </is>
      </c>
      <c r="D671" s="9" t="n">
        <v>0</v>
      </c>
      <c r="E671" s="9" t="n">
        <v/>
      </c>
      <c r="F671" s="9" t="inlineStr">
        <is>
          <t>flat</t>
        </is>
      </c>
    </row>
    <row r="672">
      <c r="A672" s="9" t="n">
        <v>671</v>
      </c>
      <c r="B672" s="9" t="inlineStr">
        <is>
          <t>Remove.bg</t>
        </is>
      </c>
      <c r="C672" s="9" t="inlineStr">
        <is>
          <t>Subscription</t>
        </is>
      </c>
      <c r="D672" s="9" t="n">
        <v>9</v>
      </c>
      <c r="E672" s="9" t="n">
        <v/>
      </c>
      <c r="F672" s="9" t="inlineStr">
        <is>
          <t>flat</t>
        </is>
      </c>
    </row>
    <row r="673">
      <c r="A673" s="9" t="n">
        <v>672</v>
      </c>
      <c r="B673" s="9" t="inlineStr">
        <is>
          <t>Remove.bg</t>
        </is>
      </c>
      <c r="C673" s="9" t="inlineStr">
        <is>
          <t>Pay per use</t>
        </is>
      </c>
      <c r="D673" s="9" t="n">
        <v>2</v>
      </c>
      <c r="E673" s="9" t="n">
        <v/>
      </c>
      <c r="F673" s="9" t="inlineStr">
        <is>
          <t>flat</t>
        </is>
      </c>
    </row>
    <row r="674">
      <c r="A674" s="9" t="n">
        <v>673</v>
      </c>
      <c r="B674" s="9" t="inlineStr">
        <is>
          <t>Tabnine</t>
        </is>
      </c>
      <c r="C674" s="9" t="inlineStr">
        <is>
          <t>Free</t>
        </is>
      </c>
      <c r="D674" s="9" t="n">
        <v>0</v>
      </c>
      <c r="E674" s="9" t="n">
        <v/>
      </c>
      <c r="F674" s="9" t="inlineStr">
        <is>
          <t>flat</t>
        </is>
      </c>
    </row>
    <row r="675">
      <c r="A675" s="9" t="n">
        <v>674</v>
      </c>
      <c r="B675" s="9" t="inlineStr">
        <is>
          <t>Tabnine</t>
        </is>
      </c>
      <c r="C675" s="9" t="inlineStr">
        <is>
          <t>Pro</t>
        </is>
      </c>
      <c r="D675" s="9" t="n">
        <v>12</v>
      </c>
      <c r="E675" s="9" t="n">
        <v/>
      </c>
      <c r="F675" s="9" t="inlineStr">
        <is>
          <t>flat</t>
        </is>
      </c>
    </row>
    <row r="676">
      <c r="A676" s="9" t="n">
        <v>675</v>
      </c>
      <c r="B676" s="9" t="inlineStr">
        <is>
          <t>Tabnine</t>
        </is>
      </c>
      <c r="C676" s="9" t="inlineStr">
        <is>
          <t>Enterprise</t>
        </is>
      </c>
      <c r="D676" s="9" t="n">
        <v>39</v>
      </c>
      <c r="E676" s="9" t="n">
        <v/>
      </c>
      <c r="F676" s="9" t="inlineStr">
        <is>
          <t>flat</t>
        </is>
      </c>
    </row>
    <row r="677">
      <c r="A677" s="9" t="n">
        <v>676</v>
      </c>
      <c r="B677" s="9" t="inlineStr">
        <is>
          <t>Replit AI</t>
        </is>
      </c>
      <c r="C677" s="9" t="inlineStr">
        <is>
          <t>Free</t>
        </is>
      </c>
      <c r="D677" s="9" t="n">
        <v>0</v>
      </c>
      <c r="E677" s="9" t="n">
        <v/>
      </c>
      <c r="F677" s="9" t="inlineStr">
        <is>
          <t>flat</t>
        </is>
      </c>
    </row>
    <row r="678">
      <c r="A678" s="9" t="n">
        <v>677</v>
      </c>
      <c r="B678" s="9" t="inlineStr">
        <is>
          <t>Replit AI</t>
        </is>
      </c>
      <c r="C678" s="9" t="inlineStr">
        <is>
          <t>Core</t>
        </is>
      </c>
      <c r="D678" s="9" t="n">
        <v>20</v>
      </c>
      <c r="E678" s="9" t="n">
        <v/>
      </c>
      <c r="F678" s="9" t="inlineStr">
        <is>
          <t>flat</t>
        </is>
      </c>
    </row>
    <row r="679">
      <c r="A679" s="9" t="n">
        <v>678</v>
      </c>
      <c r="B679" s="9" t="inlineStr">
        <is>
          <t>Replit AI</t>
        </is>
      </c>
      <c r="C679" s="9" t="inlineStr">
        <is>
          <t>Teams</t>
        </is>
      </c>
      <c r="D679" s="9" t="n">
        <v>40</v>
      </c>
      <c r="E679" s="9" t="n">
        <v/>
      </c>
      <c r="F679" s="9" t="inlineStr">
        <is>
          <t>flat</t>
        </is>
      </c>
    </row>
    <row r="680">
      <c r="A680" s="9" t="n">
        <v>679</v>
      </c>
      <c r="B680" s="9" t="inlineStr">
        <is>
          <t>Bolt.new</t>
        </is>
      </c>
      <c r="C680" s="9" t="inlineStr">
        <is>
          <t>Free</t>
        </is>
      </c>
      <c r="D680" s="9" t="n">
        <v>0</v>
      </c>
      <c r="E680" s="9" t="n">
        <v/>
      </c>
      <c r="F680" s="9" t="inlineStr">
        <is>
          <t>flat</t>
        </is>
      </c>
    </row>
    <row r="681">
      <c r="A681" s="9" t="n">
        <v>680</v>
      </c>
      <c r="B681" s="9" t="inlineStr">
        <is>
          <t>Bolt.new</t>
        </is>
      </c>
      <c r="C681" s="9" t="inlineStr">
        <is>
          <t>Pro</t>
        </is>
      </c>
      <c r="D681" s="9" t="n">
        <v>25</v>
      </c>
      <c r="E681" s="9" t="n">
        <v/>
      </c>
      <c r="F681" s="9" t="inlineStr">
        <is>
          <t>flat</t>
        </is>
      </c>
    </row>
    <row r="682">
      <c r="A682" s="9" t="n">
        <v>681</v>
      </c>
      <c r="B682" s="9" t="inlineStr">
        <is>
          <t>Bolt.new</t>
        </is>
      </c>
      <c r="C682" s="9" t="inlineStr">
        <is>
          <t>Teams</t>
        </is>
      </c>
      <c r="D682" s="9" t="n">
        <v>30</v>
      </c>
      <c r="E682" s="9" t="n">
        <v/>
      </c>
      <c r="F682" s="9" t="inlineStr">
        <is>
          <t>per-seat</t>
        </is>
      </c>
    </row>
    <row r="683">
      <c r="A683" s="9" t="n">
        <v>682</v>
      </c>
      <c r="B683" s="9" t="inlineStr">
        <is>
          <t>v0 by Vercel</t>
        </is>
      </c>
      <c r="C683" s="9" t="inlineStr">
        <is>
          <t>Free</t>
        </is>
      </c>
      <c r="D683" s="9" t="n">
        <v>0</v>
      </c>
      <c r="E683" s="9" t="n">
        <v/>
      </c>
      <c r="F683" s="9" t="inlineStr">
        <is>
          <t>flat</t>
        </is>
      </c>
    </row>
    <row r="684">
      <c r="A684" s="9" t="n">
        <v>683</v>
      </c>
      <c r="B684" s="9" t="inlineStr">
        <is>
          <t>v0 by Vercel</t>
        </is>
      </c>
      <c r="C684" s="9" t="inlineStr">
        <is>
          <t>Team</t>
        </is>
      </c>
      <c r="D684" s="9" t="n">
        <v>30</v>
      </c>
      <c r="E684" s="9" t="n">
        <v/>
      </c>
      <c r="F684" s="9" t="inlineStr">
        <is>
          <t>per-seat</t>
        </is>
      </c>
    </row>
    <row r="685">
      <c r="A685" s="9" t="n">
        <v>684</v>
      </c>
      <c r="B685" s="9" t="inlineStr">
        <is>
          <t>v0 by Vercel</t>
        </is>
      </c>
      <c r="C685" s="9" t="inlineStr">
        <is>
          <t>Business</t>
        </is>
      </c>
      <c r="D685" s="9" t="n">
        <v>100</v>
      </c>
      <c r="E685" s="9" t="n">
        <v/>
      </c>
      <c r="F685" s="9" t="inlineStr">
        <is>
          <t>per-seat</t>
        </is>
      </c>
    </row>
    <row r="686">
      <c r="A686" s="9" t="n">
        <v>685</v>
      </c>
      <c r="B686" s="9" t="inlineStr">
        <is>
          <t>Windsurf (Codeium)</t>
        </is>
      </c>
      <c r="C686" s="9" t="inlineStr">
        <is>
          <t>Free</t>
        </is>
      </c>
      <c r="D686" s="9" t="n">
        <v>0</v>
      </c>
      <c r="E686" s="9" t="n">
        <v/>
      </c>
      <c r="F686" s="9" t="inlineStr">
        <is>
          <t>flat</t>
        </is>
      </c>
    </row>
    <row r="687">
      <c r="A687" s="9" t="n">
        <v>686</v>
      </c>
      <c r="B687" s="9" t="inlineStr">
        <is>
          <t>Windsurf (Codeium)</t>
        </is>
      </c>
      <c r="C687" s="9" t="inlineStr">
        <is>
          <t>Pro</t>
        </is>
      </c>
      <c r="D687" s="9" t="n">
        <v>20</v>
      </c>
      <c r="E687" s="9" t="n">
        <v/>
      </c>
      <c r="F687" s="9" t="inlineStr">
        <is>
          <t>flat</t>
        </is>
      </c>
    </row>
    <row r="688">
      <c r="A688" s="9" t="n">
        <v>687</v>
      </c>
      <c r="B688" s="9" t="inlineStr">
        <is>
          <t>Windsurf (Codeium)</t>
        </is>
      </c>
      <c r="C688" s="9" t="inlineStr">
        <is>
          <t>Teams</t>
        </is>
      </c>
      <c r="D688" s="9" t="n">
        <v>40</v>
      </c>
      <c r="E688" s="9" t="n">
        <v/>
      </c>
      <c r="F688" s="9" t="inlineStr">
        <is>
          <t>per-seat</t>
        </is>
      </c>
    </row>
    <row r="689">
      <c r="A689" s="9" t="n">
        <v>688</v>
      </c>
      <c r="B689" s="9" t="inlineStr">
        <is>
          <t>Windsurf (Codeium)</t>
        </is>
      </c>
      <c r="C689" s="9" t="inlineStr">
        <is>
          <t>Enterprise</t>
        </is>
      </c>
      <c r="D689" s="9" t="n">
        <v/>
      </c>
      <c r="E689" s="9" t="n">
        <v/>
      </c>
      <c r="F689" s="9" t="inlineStr">
        <is>
          <t>flat</t>
        </is>
      </c>
    </row>
    <row r="690">
      <c r="A690" s="9" t="n">
        <v>689</v>
      </c>
      <c r="B690" s="9" t="inlineStr">
        <is>
          <t>Phind</t>
        </is>
      </c>
      <c r="C690" s="9" t="inlineStr">
        <is>
          <t>Free</t>
        </is>
      </c>
      <c r="D690" s="9" t="n">
        <v>0</v>
      </c>
      <c r="E690" s="9" t="n">
        <v/>
      </c>
      <c r="F690" s="9" t="inlineStr">
        <is>
          <t>flat</t>
        </is>
      </c>
    </row>
    <row r="691">
      <c r="A691" s="9" t="n">
        <v>690</v>
      </c>
      <c r="B691" s="9" t="inlineStr">
        <is>
          <t>Phind</t>
        </is>
      </c>
      <c r="C691" s="9" t="inlineStr">
        <is>
          <t>Pro</t>
        </is>
      </c>
      <c r="D691" s="9" t="n">
        <v>17</v>
      </c>
      <c r="E691" s="9" t="n">
        <v/>
      </c>
      <c r="F691" s="9" t="inlineStr">
        <is>
          <t>flat</t>
        </is>
      </c>
    </row>
    <row r="692">
      <c r="A692" s="9" t="n">
        <v>691</v>
      </c>
      <c r="B692" s="9" t="inlineStr">
        <is>
          <t>Zapier AI</t>
        </is>
      </c>
      <c r="C692" s="9" t="inlineStr">
        <is>
          <t>Free</t>
        </is>
      </c>
      <c r="D692" s="9" t="n">
        <v>0</v>
      </c>
      <c r="E692" s="9" t="n">
        <v/>
      </c>
      <c r="F692" s="9" t="inlineStr">
        <is>
          <t>flat</t>
        </is>
      </c>
    </row>
    <row r="693">
      <c r="A693" s="9" t="n">
        <v>692</v>
      </c>
      <c r="B693" s="9" t="inlineStr">
        <is>
          <t>Zapier AI</t>
        </is>
      </c>
      <c r="C693" s="9" t="inlineStr">
        <is>
          <t>Starter</t>
        </is>
      </c>
      <c r="D693" s="9" t="n">
        <v>19.99</v>
      </c>
      <c r="E693" s="9" t="n">
        <v/>
      </c>
      <c r="F693" s="9" t="inlineStr">
        <is>
          <t>flat</t>
        </is>
      </c>
    </row>
    <row r="694">
      <c r="A694" s="9" t="n">
        <v>693</v>
      </c>
      <c r="B694" s="9" t="inlineStr">
        <is>
          <t>Zapier AI</t>
        </is>
      </c>
      <c r="C694" s="9" t="inlineStr">
        <is>
          <t>Professional</t>
        </is>
      </c>
      <c r="D694" s="9" t="n">
        <v>69</v>
      </c>
      <c r="E694" s="9" t="n">
        <v/>
      </c>
      <c r="F694" s="9" t="inlineStr">
        <is>
          <t>flat</t>
        </is>
      </c>
    </row>
    <row r="695">
      <c r="A695" s="9" t="n">
        <v>694</v>
      </c>
      <c r="B695" s="9" t="inlineStr">
        <is>
          <t>Zapier AI</t>
        </is>
      </c>
      <c r="C695" s="9" t="inlineStr">
        <is>
          <t>Team</t>
        </is>
      </c>
      <c r="D695" s="9" t="n">
        <v/>
      </c>
      <c r="E695" s="9" t="n">
        <v/>
      </c>
      <c r="F695" s="9" t="inlineStr">
        <is>
          <t>flat</t>
        </is>
      </c>
    </row>
    <row r="696">
      <c r="A696" s="9" t="n">
        <v>695</v>
      </c>
      <c r="B696" s="9" t="inlineStr">
        <is>
          <t>Character.AI</t>
        </is>
      </c>
      <c r="C696" s="9" t="inlineStr">
        <is>
          <t>Free</t>
        </is>
      </c>
      <c r="D696" s="9" t="n">
        <v>0</v>
      </c>
      <c r="E696" s="9" t="n">
        <v/>
      </c>
      <c r="F696" s="9" t="inlineStr">
        <is>
          <t>flat</t>
        </is>
      </c>
    </row>
    <row r="697">
      <c r="A697" s="9" t="n">
        <v>696</v>
      </c>
      <c r="B697" s="9" t="inlineStr">
        <is>
          <t>Character.AI</t>
        </is>
      </c>
      <c r="C697" s="9" t="inlineStr">
        <is>
          <t>c.ai+</t>
        </is>
      </c>
      <c r="D697" s="9" t="n">
        <v>10</v>
      </c>
      <c r="E697" s="9" t="n">
        <v/>
      </c>
      <c r="F697" s="9" t="inlineStr">
        <is>
          <t>flat</t>
        </is>
      </c>
    </row>
    <row r="698">
      <c r="A698" s="9" t="n">
        <v>697</v>
      </c>
      <c r="B698" s="9" t="inlineStr">
        <is>
          <t>Anthropic API (Claude)</t>
        </is>
      </c>
      <c r="C698" s="9" t="inlineStr">
        <is>
          <t>Pay per use</t>
        </is>
      </c>
      <c r="D698" s="9" t="n">
        <v>0</v>
      </c>
      <c r="E698" s="9" t="n">
        <v/>
      </c>
      <c r="F698" s="9" t="inlineStr">
        <is>
          <t>flat</t>
        </is>
      </c>
    </row>
    <row r="699">
      <c r="A699" s="9" t="n">
        <v>698</v>
      </c>
      <c r="B699" s="9" t="inlineStr">
        <is>
          <t>Anthropic API (Claude)</t>
        </is>
      </c>
      <c r="C699" s="9" t="inlineStr">
        <is>
          <t>Workspaces</t>
        </is>
      </c>
      <c r="D699" s="9" t="n">
        <v/>
      </c>
      <c r="E699" s="9" t="n">
        <v/>
      </c>
      <c r="F699" s="9" t="inlineStr">
        <is>
          <t>flat</t>
        </is>
      </c>
    </row>
    <row r="700">
      <c r="A700" s="9" t="n">
        <v>699</v>
      </c>
      <c r="B700" s="9" t="inlineStr">
        <is>
          <t>Google AI Studio</t>
        </is>
      </c>
      <c r="C700" s="9" t="inlineStr">
        <is>
          <t>Free</t>
        </is>
      </c>
      <c r="D700" s="9" t="n">
        <v>0</v>
      </c>
      <c r="E700" s="9" t="n">
        <v/>
      </c>
      <c r="F700" s="9" t="inlineStr">
        <is>
          <t>flat</t>
        </is>
      </c>
    </row>
    <row r="701">
      <c r="A701" s="9" t="n">
        <v>700</v>
      </c>
      <c r="B701" s="9" t="inlineStr">
        <is>
          <t>Google AI Studio</t>
        </is>
      </c>
      <c r="C701" s="9" t="inlineStr">
        <is>
          <t>Pay per use</t>
        </is>
      </c>
      <c r="D701" s="9" t="n">
        <v>0</v>
      </c>
      <c r="E701" s="9" t="n">
        <v/>
      </c>
      <c r="F701" s="9" t="inlineStr">
        <is>
          <t>flat</t>
        </is>
      </c>
    </row>
    <row r="702">
      <c r="A702" s="9" t="n">
        <v>701</v>
      </c>
      <c r="B702" s="9" t="inlineStr">
        <is>
          <t>Microsoft Copilot</t>
        </is>
      </c>
      <c r="C702" s="9" t="inlineStr">
        <is>
          <t>Free</t>
        </is>
      </c>
      <c r="D702" s="9" t="n">
        <v>0</v>
      </c>
      <c r="E702" s="9" t="n">
        <v/>
      </c>
      <c r="F702" s="9" t="inlineStr">
        <is>
          <t>flat</t>
        </is>
      </c>
    </row>
    <row r="703">
      <c r="A703" s="9" t="n">
        <v>702</v>
      </c>
      <c r="B703" s="9" t="inlineStr">
        <is>
          <t>Microsoft Copilot</t>
        </is>
      </c>
      <c r="C703" s="9" t="inlineStr">
        <is>
          <t>Pro</t>
        </is>
      </c>
      <c r="D703" s="9" t="n">
        <v>20</v>
      </c>
      <c r="E703" s="9" t="n">
        <v/>
      </c>
      <c r="F703" s="9" t="inlineStr">
        <is>
          <t>flat</t>
        </is>
      </c>
    </row>
    <row r="704">
      <c r="A704" s="9" t="n">
        <v>703</v>
      </c>
      <c r="B704" s="9" t="inlineStr">
        <is>
          <t>Microsoft Copilot</t>
        </is>
      </c>
      <c r="C704" s="9" t="inlineStr">
        <is>
          <t>Microsoft 365</t>
        </is>
      </c>
      <c r="D704" s="9" t="n">
        <v>30</v>
      </c>
      <c r="E704" s="9" t="n">
        <v/>
      </c>
      <c r="F704" s="9" t="inlineStr">
        <is>
          <t>flat</t>
        </is>
      </c>
    </row>
    <row r="705">
      <c r="A705" s="9" t="n">
        <v>704</v>
      </c>
      <c r="B705" s="9" t="inlineStr">
        <is>
          <t>Cohere</t>
        </is>
      </c>
      <c r="C705" s="9" t="inlineStr">
        <is>
          <t>Free trial</t>
        </is>
      </c>
      <c r="D705" s="9" t="n">
        <v>0</v>
      </c>
      <c r="E705" s="9" t="n">
        <v/>
      </c>
      <c r="F705" s="9" t="inlineStr">
        <is>
          <t>flat</t>
        </is>
      </c>
    </row>
    <row r="706">
      <c r="A706" s="9" t="n">
        <v>705</v>
      </c>
      <c r="B706" s="9" t="inlineStr">
        <is>
          <t>Cohere</t>
        </is>
      </c>
      <c r="C706" s="9" t="inlineStr">
        <is>
          <t>Production</t>
        </is>
      </c>
      <c r="D706" s="9" t="n">
        <v>0</v>
      </c>
      <c r="E706" s="9" t="n">
        <v/>
      </c>
      <c r="F706" s="9" t="inlineStr">
        <is>
          <t>flat</t>
        </is>
      </c>
    </row>
    <row r="707">
      <c r="A707" s="9" t="n">
        <v>706</v>
      </c>
      <c r="B707" s="9" t="inlineStr">
        <is>
          <t>Cohere</t>
        </is>
      </c>
      <c r="C707" s="9" t="inlineStr">
        <is>
          <t>Enterprise</t>
        </is>
      </c>
      <c r="D707" s="9" t="n">
        <v/>
      </c>
      <c r="E707" s="9" t="n">
        <v/>
      </c>
      <c r="F707" s="9" t="inlineStr">
        <is>
          <t>flat</t>
        </is>
      </c>
    </row>
    <row r="708">
      <c r="A708" s="9" t="n">
        <v>707</v>
      </c>
      <c r="B708" s="9" t="inlineStr">
        <is>
          <t>Mistral AI</t>
        </is>
      </c>
      <c r="C708" s="9" t="inlineStr">
        <is>
          <t>Free API</t>
        </is>
      </c>
      <c r="D708" s="9" t="n">
        <v>0</v>
      </c>
      <c r="E708" s="9" t="n">
        <v/>
      </c>
      <c r="F708" s="9" t="inlineStr">
        <is>
          <t>flat</t>
        </is>
      </c>
    </row>
    <row r="709">
      <c r="A709" s="9" t="n">
        <v>708</v>
      </c>
      <c r="B709" s="9" t="inlineStr">
        <is>
          <t>Mistral AI</t>
        </is>
      </c>
      <c r="C709" s="9" t="inlineStr">
        <is>
          <t>Pay per use</t>
        </is>
      </c>
      <c r="D709" s="9" t="n">
        <v>0</v>
      </c>
      <c r="E709" s="9" t="n">
        <v/>
      </c>
      <c r="F709" s="9" t="inlineStr">
        <is>
          <t>flat</t>
        </is>
      </c>
    </row>
    <row r="710">
      <c r="A710" s="9" t="n">
        <v>709</v>
      </c>
      <c r="B710" s="9" t="inlineStr">
        <is>
          <t>Mistral AI</t>
        </is>
      </c>
      <c r="C710" s="9" t="inlineStr">
        <is>
          <t>Enterprise</t>
        </is>
      </c>
      <c r="D710" s="9" t="n">
        <v/>
      </c>
      <c r="E710" s="9" t="n">
        <v/>
      </c>
      <c r="F710" s="9" t="inlineStr">
        <is>
          <t>flat</t>
        </is>
      </c>
    </row>
    <row r="711">
      <c r="A711" s="9" t="n">
        <v>710</v>
      </c>
      <c r="B711" s="9" t="inlineStr">
        <is>
          <t>You.com</t>
        </is>
      </c>
      <c r="C711" s="9" t="inlineStr">
        <is>
          <t>Free</t>
        </is>
      </c>
      <c r="D711" s="9" t="n">
        <v>0</v>
      </c>
      <c r="E711" s="9" t="n">
        <v/>
      </c>
      <c r="F711" s="9" t="inlineStr">
        <is>
          <t>flat</t>
        </is>
      </c>
    </row>
    <row r="712">
      <c r="A712" s="9" t="n">
        <v>711</v>
      </c>
      <c r="B712" s="9" t="inlineStr">
        <is>
          <t>You.com</t>
        </is>
      </c>
      <c r="C712" s="9" t="inlineStr">
        <is>
          <t>YouPro</t>
        </is>
      </c>
      <c r="D712" s="9" t="n">
        <v>15</v>
      </c>
      <c r="E712" s="9" t="n">
        <v/>
      </c>
      <c r="F712" s="9" t="inlineStr">
        <is>
          <t>flat</t>
        </is>
      </c>
    </row>
    <row r="713">
      <c r="A713" s="9" t="n">
        <v>712</v>
      </c>
      <c r="B713" s="9" t="inlineStr">
        <is>
          <t>Consensus</t>
        </is>
      </c>
      <c r="C713" s="9" t="inlineStr">
        <is>
          <t>Free</t>
        </is>
      </c>
      <c r="D713" s="9" t="n">
        <v>0</v>
      </c>
      <c r="E713" s="9" t="n">
        <v/>
      </c>
      <c r="F713" s="9" t="inlineStr">
        <is>
          <t>flat</t>
        </is>
      </c>
    </row>
    <row r="714">
      <c r="A714" s="9" t="n">
        <v>713</v>
      </c>
      <c r="B714" s="9" t="inlineStr">
        <is>
          <t>Consensus</t>
        </is>
      </c>
      <c r="C714" s="9" t="inlineStr">
        <is>
          <t>Premium</t>
        </is>
      </c>
      <c r="D714" s="9" t="n">
        <v>10</v>
      </c>
      <c r="E714" s="9" t="n">
        <v/>
      </c>
      <c r="F714" s="9" t="inlineStr">
        <is>
          <t>flat</t>
        </is>
      </c>
    </row>
    <row r="715">
      <c r="A715" s="9" t="n">
        <v>714</v>
      </c>
      <c r="B715" s="9" t="inlineStr">
        <is>
          <t>Consensus</t>
        </is>
      </c>
      <c r="C715" s="9" t="inlineStr">
        <is>
          <t>Enterprise</t>
        </is>
      </c>
      <c r="D715" s="9" t="n">
        <v/>
      </c>
      <c r="E715" s="9" t="n">
        <v/>
      </c>
      <c r="F715" s="9" t="inlineStr">
        <is>
          <t>flat</t>
        </is>
      </c>
    </row>
    <row r="716">
      <c r="A716" s="9" t="n">
        <v>715</v>
      </c>
      <c r="B716" s="9" t="inlineStr">
        <is>
          <t>Elicit</t>
        </is>
      </c>
      <c r="C716" s="9" t="inlineStr">
        <is>
          <t>Basic</t>
        </is>
      </c>
      <c r="D716" s="9" t="n">
        <v>0</v>
      </c>
      <c r="E716" s="9" t="n">
        <v/>
      </c>
      <c r="F716" s="9" t="inlineStr">
        <is>
          <t>flat</t>
        </is>
      </c>
    </row>
    <row r="717">
      <c r="A717" s="9" t="n">
        <v>716</v>
      </c>
      <c r="B717" s="9" t="inlineStr">
        <is>
          <t>Elicit</t>
        </is>
      </c>
      <c r="C717" s="9" t="inlineStr">
        <is>
          <t>Pro</t>
        </is>
      </c>
      <c r="D717" s="9" t="n">
        <v>49</v>
      </c>
      <c r="E717" s="9" t="n">
        <v/>
      </c>
      <c r="F717" s="9" t="inlineStr">
        <is>
          <t>per-seat</t>
        </is>
      </c>
    </row>
    <row r="718">
      <c r="A718" s="9" t="n">
        <v>717</v>
      </c>
      <c r="B718" s="9" t="inlineStr">
        <is>
          <t>Elicit</t>
        </is>
      </c>
      <c r="C718" s="9" t="inlineStr">
        <is>
          <t>Enterprise</t>
        </is>
      </c>
      <c r="D718" s="9" t="n">
        <v/>
      </c>
      <c r="E718" s="9" t="n">
        <v/>
      </c>
      <c r="F718" s="9" t="inlineStr">
        <is>
          <t>flat</t>
        </is>
      </c>
    </row>
    <row r="719">
      <c r="A719" s="9" t="n">
        <v>718</v>
      </c>
      <c r="B719" s="9" t="inlineStr">
        <is>
          <t>Suno</t>
        </is>
      </c>
      <c r="C719" s="9" t="inlineStr">
        <is>
          <t>Free</t>
        </is>
      </c>
      <c r="D719" s="9" t="n">
        <v>0</v>
      </c>
      <c r="E719" s="9" t="n">
        <v/>
      </c>
      <c r="F719" s="9" t="inlineStr">
        <is>
          <t>flat</t>
        </is>
      </c>
    </row>
    <row r="720">
      <c r="A720" s="9" t="n">
        <v>719</v>
      </c>
      <c r="B720" s="9" t="inlineStr">
        <is>
          <t>Suno</t>
        </is>
      </c>
      <c r="C720" s="9" t="inlineStr">
        <is>
          <t>Pro</t>
        </is>
      </c>
      <c r="D720" s="9" t="n">
        <v>8</v>
      </c>
      <c r="E720" s="9" t="n">
        <v>96</v>
      </c>
      <c r="F720" s="9" t="inlineStr">
        <is>
          <t>per-seat</t>
        </is>
      </c>
    </row>
    <row r="721">
      <c r="A721" s="9" t="n">
        <v>720</v>
      </c>
      <c r="B721" s="9" t="inlineStr">
        <is>
          <t>Suno</t>
        </is>
      </c>
      <c r="C721" s="9" t="inlineStr">
        <is>
          <t>Premier</t>
        </is>
      </c>
      <c r="D721" s="9" t="n">
        <v>24</v>
      </c>
      <c r="E721" s="9" t="n">
        <v>288</v>
      </c>
      <c r="F721" s="9" t="inlineStr">
        <is>
          <t>per-seat</t>
        </is>
      </c>
    </row>
    <row r="722">
      <c r="A722" s="9" t="n">
        <v>721</v>
      </c>
      <c r="B722" s="9" t="inlineStr">
        <is>
          <t>Udio</t>
        </is>
      </c>
      <c r="C722" s="9" t="inlineStr">
        <is>
          <t>Free</t>
        </is>
      </c>
      <c r="D722" s="9" t="n">
        <v>0</v>
      </c>
      <c r="E722" s="9" t="n">
        <v/>
      </c>
      <c r="F722" s="9" t="inlineStr">
        <is>
          <t>flat</t>
        </is>
      </c>
    </row>
    <row r="723">
      <c r="A723" s="9" t="n">
        <v>722</v>
      </c>
      <c r="B723" s="9" t="inlineStr">
        <is>
          <t>Udio</t>
        </is>
      </c>
      <c r="C723" s="9" t="inlineStr">
        <is>
          <t>Standard</t>
        </is>
      </c>
      <c r="D723" s="9" t="n">
        <v>10</v>
      </c>
      <c r="E723" s="9" t="n">
        <v/>
      </c>
      <c r="F723" s="9" t="inlineStr">
        <is>
          <t>flat</t>
        </is>
      </c>
    </row>
    <row r="724">
      <c r="A724" s="9" t="n">
        <v>723</v>
      </c>
      <c r="B724" s="9" t="inlineStr">
        <is>
          <t>Udio</t>
        </is>
      </c>
      <c r="C724" s="9" t="inlineStr">
        <is>
          <t>Pro</t>
        </is>
      </c>
      <c r="D724" s="9" t="n">
        <v>30</v>
      </c>
      <c r="E724" s="9" t="n">
        <v/>
      </c>
      <c r="F724" s="9" t="inlineStr">
        <is>
          <t>flat</t>
        </is>
      </c>
    </row>
    <row r="725">
      <c r="A725" s="9" t="n">
        <v>724</v>
      </c>
      <c r="B725" s="9" t="inlineStr">
        <is>
          <t>Adobe Podcast (Enhance)</t>
        </is>
      </c>
      <c r="C725" s="9" t="inlineStr">
        <is>
          <t>Free</t>
        </is>
      </c>
      <c r="D725" s="9" t="n">
        <v>0</v>
      </c>
      <c r="E725" s="9" t="n">
        <v/>
      </c>
      <c r="F725" s="9" t="inlineStr">
        <is>
          <t>flat</t>
        </is>
      </c>
    </row>
    <row r="726">
      <c r="A726" s="9" t="n">
        <v>725</v>
      </c>
      <c r="B726" s="9" t="inlineStr">
        <is>
          <t>Adobe Podcast (Enhance)</t>
        </is>
      </c>
      <c r="C726" s="9" t="inlineStr">
        <is>
          <t>Premium</t>
        </is>
      </c>
      <c r="D726" s="9" t="n">
        <v>5</v>
      </c>
      <c r="E726" s="9" t="n">
        <v/>
      </c>
      <c r="F726" s="9" t="inlineStr">
        <is>
          <t>flat</t>
        </is>
      </c>
    </row>
    <row r="727">
      <c r="A727" s="9" t="n">
        <v>726</v>
      </c>
      <c r="B727" s="9" t="inlineStr">
        <is>
          <t>Otter.ai</t>
        </is>
      </c>
      <c r="C727" s="9" t="inlineStr">
        <is>
          <t>Basic</t>
        </is>
      </c>
      <c r="D727" s="9" t="n">
        <v>0</v>
      </c>
      <c r="E727" s="9" t="n">
        <v/>
      </c>
      <c r="F727" s="9" t="inlineStr">
        <is>
          <t>flat</t>
        </is>
      </c>
    </row>
    <row r="728">
      <c r="A728" s="9" t="n">
        <v>727</v>
      </c>
      <c r="B728" s="9" t="inlineStr">
        <is>
          <t>Otter.ai</t>
        </is>
      </c>
      <c r="C728" s="9" t="inlineStr">
        <is>
          <t>Pro</t>
        </is>
      </c>
      <c r="D728" s="9" t="n">
        <v>16.99</v>
      </c>
      <c r="E728" s="9" t="n">
        <v/>
      </c>
      <c r="F728" s="9" t="inlineStr">
        <is>
          <t>per-seat</t>
        </is>
      </c>
    </row>
    <row r="729">
      <c r="A729" s="9" t="n">
        <v>728</v>
      </c>
      <c r="B729" s="9" t="inlineStr">
        <is>
          <t>Otter.ai</t>
        </is>
      </c>
      <c r="C729" s="9" t="inlineStr">
        <is>
          <t>Business</t>
        </is>
      </c>
      <c r="D729" s="9" t="n">
        <v>40</v>
      </c>
      <c r="E729" s="9" t="n">
        <v/>
      </c>
      <c r="F729" s="9" t="inlineStr">
        <is>
          <t>per-seat</t>
        </is>
      </c>
    </row>
    <row r="730">
      <c r="A730" s="9" t="n">
        <v>729</v>
      </c>
      <c r="B730" s="9" t="inlineStr">
        <is>
          <t>Otter.ai</t>
        </is>
      </c>
      <c r="C730" s="9" t="inlineStr">
        <is>
          <t>Enterprise</t>
        </is>
      </c>
      <c r="D730" s="9" t="n">
        <v/>
      </c>
      <c r="E730" s="9" t="n">
        <v/>
      </c>
      <c r="F730" s="9" t="inlineStr">
        <is>
          <t>flat</t>
        </is>
      </c>
    </row>
    <row r="731">
      <c r="A731" s="9" t="n">
        <v>730</v>
      </c>
      <c r="B731" s="9" t="inlineStr">
        <is>
          <t>Fireflies.ai</t>
        </is>
      </c>
      <c r="C731" s="9" t="inlineStr">
        <is>
          <t>Free</t>
        </is>
      </c>
      <c r="D731" s="9" t="n">
        <v>0</v>
      </c>
      <c r="E731" s="9" t="n">
        <v/>
      </c>
      <c r="F731" s="9" t="inlineStr">
        <is>
          <t>flat</t>
        </is>
      </c>
    </row>
    <row r="732">
      <c r="A732" s="9" t="n">
        <v>731</v>
      </c>
      <c r="B732" s="9" t="inlineStr">
        <is>
          <t>Fireflies.ai</t>
        </is>
      </c>
      <c r="C732" s="9" t="inlineStr">
        <is>
          <t>Pro</t>
        </is>
      </c>
      <c r="D732" s="9" t="n">
        <v>18</v>
      </c>
      <c r="E732" s="9" t="n">
        <v/>
      </c>
      <c r="F732" s="9" t="inlineStr">
        <is>
          <t>flat</t>
        </is>
      </c>
    </row>
    <row r="733">
      <c r="A733" s="9" t="n">
        <v>732</v>
      </c>
      <c r="B733" s="9" t="inlineStr">
        <is>
          <t>Fireflies.ai</t>
        </is>
      </c>
      <c r="C733" s="9" t="inlineStr">
        <is>
          <t>Business</t>
        </is>
      </c>
      <c r="D733" s="9" t="n">
        <v>29</v>
      </c>
      <c r="E733" s="9" t="n">
        <v/>
      </c>
      <c r="F733" s="9" t="inlineStr">
        <is>
          <t>flat</t>
        </is>
      </c>
    </row>
    <row r="734">
      <c r="A734" s="9" t="n">
        <v>733</v>
      </c>
      <c r="B734" s="9" t="inlineStr">
        <is>
          <t>Mem AI</t>
        </is>
      </c>
      <c r="C734" s="9" t="inlineStr">
        <is>
          <t>Free</t>
        </is>
      </c>
      <c r="D734" s="9" t="n">
        <v>0</v>
      </c>
      <c r="E734" s="9" t="n">
        <v/>
      </c>
      <c r="F734" s="9" t="inlineStr">
        <is>
          <t>flat</t>
        </is>
      </c>
    </row>
    <row r="735">
      <c r="A735" s="9" t="n">
        <v>734</v>
      </c>
      <c r="B735" s="9" t="inlineStr">
        <is>
          <t>Mem AI</t>
        </is>
      </c>
      <c r="C735" s="9" t="inlineStr">
        <is>
          <t>Mem X</t>
        </is>
      </c>
      <c r="D735" s="9" t="n">
        <v>20</v>
      </c>
      <c r="E735" s="9" t="n">
        <v/>
      </c>
      <c r="F735" s="9" t="inlineStr">
        <is>
          <t>flat</t>
        </is>
      </c>
    </row>
    <row r="736">
      <c r="A736" s="9" t="n">
        <v>735</v>
      </c>
      <c r="B736" s="9" t="inlineStr">
        <is>
          <t>Mem AI</t>
        </is>
      </c>
      <c r="C736" s="9" t="inlineStr">
        <is>
          <t>Teams</t>
        </is>
      </c>
      <c r="D736" s="9" t="n">
        <v>50</v>
      </c>
      <c r="E736" s="9" t="n">
        <v/>
      </c>
      <c r="F736" s="9" t="inlineStr">
        <is>
          <t>flat</t>
        </is>
      </c>
    </row>
    <row r="737">
      <c r="A737" s="9" t="n">
        <v>736</v>
      </c>
      <c r="B737" s="9" t="inlineStr">
        <is>
          <t>Beautiful.ai</t>
        </is>
      </c>
      <c r="C737" s="9" t="inlineStr">
        <is>
          <t>Pro</t>
        </is>
      </c>
      <c r="D737" s="9" t="n">
        <v>12</v>
      </c>
      <c r="E737" s="9" t="n">
        <v/>
      </c>
      <c r="F737" s="9" t="inlineStr">
        <is>
          <t>flat</t>
        </is>
      </c>
    </row>
    <row r="738">
      <c r="A738" s="9" t="n">
        <v>737</v>
      </c>
      <c r="B738" s="9" t="inlineStr">
        <is>
          <t>Beautiful.ai</t>
        </is>
      </c>
      <c r="C738" s="9" t="inlineStr">
        <is>
          <t>Team</t>
        </is>
      </c>
      <c r="D738" s="9" t="n">
        <v>40</v>
      </c>
      <c r="E738" s="9" t="n">
        <v/>
      </c>
      <c r="F738" s="9" t="inlineStr">
        <is>
          <t>flat</t>
        </is>
      </c>
    </row>
    <row r="739">
      <c r="A739" s="9" t="n">
        <v>738</v>
      </c>
      <c r="B739" s="9" t="inlineStr">
        <is>
          <t>Beautiful.ai</t>
        </is>
      </c>
      <c r="C739" s="9" t="inlineStr">
        <is>
          <t>Enterprise</t>
        </is>
      </c>
      <c r="D739" s="9" t="n">
        <v/>
      </c>
      <c r="E739" s="9" t="n">
        <v/>
      </c>
      <c r="F739" s="9" t="inlineStr">
        <is>
          <t>flat</t>
        </is>
      </c>
    </row>
    <row r="740">
      <c r="A740" s="9" t="n">
        <v>739</v>
      </c>
      <c r="B740" s="9" t="inlineStr">
        <is>
          <t>Gamma</t>
        </is>
      </c>
      <c r="C740" s="9" t="inlineStr">
        <is>
          <t>Free</t>
        </is>
      </c>
      <c r="D740" s="9" t="n">
        <v>0</v>
      </c>
      <c r="E740" s="9" t="n">
        <v/>
      </c>
      <c r="F740" s="9" t="inlineStr">
        <is>
          <t>flat</t>
        </is>
      </c>
    </row>
    <row r="741">
      <c r="A741" s="9" t="n">
        <v>740</v>
      </c>
      <c r="B741" s="9" t="inlineStr">
        <is>
          <t>Gamma</t>
        </is>
      </c>
      <c r="C741" s="9" t="inlineStr">
        <is>
          <t>Plus</t>
        </is>
      </c>
      <c r="D741" s="9" t="n">
        <v>8</v>
      </c>
      <c r="E741" s="9" t="n">
        <v/>
      </c>
      <c r="F741" s="9" t="inlineStr">
        <is>
          <t>flat</t>
        </is>
      </c>
    </row>
    <row r="742">
      <c r="A742" s="9" t="n">
        <v>741</v>
      </c>
      <c r="B742" s="9" t="inlineStr">
        <is>
          <t>Gamma</t>
        </is>
      </c>
      <c r="C742" s="9" t="inlineStr">
        <is>
          <t>Pro</t>
        </is>
      </c>
      <c r="D742" s="9" t="n">
        <v>15</v>
      </c>
      <c r="E742" s="9" t="n">
        <v/>
      </c>
      <c r="F742" s="9" t="inlineStr">
        <is>
          <t>flat</t>
        </is>
      </c>
    </row>
    <row r="743">
      <c r="A743" s="9" t="n">
        <v>742</v>
      </c>
      <c r="B743" s="9" t="inlineStr">
        <is>
          <t>Tome</t>
        </is>
      </c>
      <c r="C743" s="9" t="inlineStr">
        <is>
          <t>Free</t>
        </is>
      </c>
      <c r="D743" s="9" t="n">
        <v>0</v>
      </c>
      <c r="E743" s="9" t="n">
        <v/>
      </c>
      <c r="F743" s="9" t="inlineStr">
        <is>
          <t>flat</t>
        </is>
      </c>
    </row>
    <row r="744">
      <c r="A744" s="9" t="n">
        <v>743</v>
      </c>
      <c r="B744" s="9" t="inlineStr">
        <is>
          <t>Tome</t>
        </is>
      </c>
      <c r="C744" s="9" t="inlineStr">
        <is>
          <t>Pro</t>
        </is>
      </c>
      <c r="D744" s="9" t="n">
        <v>16</v>
      </c>
      <c r="E744" s="9" t="n">
        <v/>
      </c>
      <c r="F744" s="9" t="inlineStr">
        <is>
          <t>flat</t>
        </is>
      </c>
    </row>
    <row r="745">
      <c r="A745" s="9" t="n">
        <v>744</v>
      </c>
      <c r="B745" s="9" t="inlineStr">
        <is>
          <t>Tome</t>
        </is>
      </c>
      <c r="C745" s="9" t="inlineStr">
        <is>
          <t>Enterprise</t>
        </is>
      </c>
      <c r="D745" s="9" t="n">
        <v/>
      </c>
      <c r="E745" s="9" t="n">
        <v/>
      </c>
      <c r="F745" s="9" t="inlineStr">
        <is>
          <t>flat</t>
        </is>
      </c>
    </row>
    <row r="746">
      <c r="A746" s="9" t="n">
        <v>745</v>
      </c>
      <c r="B746" s="9" t="inlineStr">
        <is>
          <t>Descript</t>
        </is>
      </c>
      <c r="C746" s="9" t="inlineStr">
        <is>
          <t>Free</t>
        </is>
      </c>
      <c r="D746" s="9" t="n">
        <v>0</v>
      </c>
      <c r="E746" s="9" t="n">
        <v/>
      </c>
      <c r="F746" s="9" t="inlineStr">
        <is>
          <t>flat</t>
        </is>
      </c>
    </row>
    <row r="747">
      <c r="A747" s="9" t="n">
        <v>746</v>
      </c>
      <c r="B747" s="9" t="inlineStr">
        <is>
          <t>Descript</t>
        </is>
      </c>
      <c r="C747" s="9" t="inlineStr">
        <is>
          <t>Hobbyist</t>
        </is>
      </c>
      <c r="D747" s="9" t="n">
        <v>19</v>
      </c>
      <c r="E747" s="9" t="n">
        <v/>
      </c>
      <c r="F747" s="9" t="inlineStr">
        <is>
          <t>flat</t>
        </is>
      </c>
    </row>
    <row r="748">
      <c r="A748" s="9" t="n">
        <v>747</v>
      </c>
      <c r="B748" s="9" t="inlineStr">
        <is>
          <t>Descript</t>
        </is>
      </c>
      <c r="C748" s="9" t="inlineStr">
        <is>
          <t>Creator</t>
        </is>
      </c>
      <c r="D748" s="9" t="n">
        <v>35</v>
      </c>
      <c r="E748" s="9" t="n">
        <v/>
      </c>
      <c r="F748" s="9" t="inlineStr">
        <is>
          <t>flat</t>
        </is>
      </c>
    </row>
    <row r="749">
      <c r="A749" s="9" t="n">
        <v>748</v>
      </c>
      <c r="B749" s="9" t="inlineStr">
        <is>
          <t>CapCut AI</t>
        </is>
      </c>
      <c r="C749" s="9" t="inlineStr">
        <is>
          <t>Free</t>
        </is>
      </c>
      <c r="D749" s="9" t="n">
        <v>0</v>
      </c>
      <c r="E749" s="9" t="n">
        <v/>
      </c>
      <c r="F749" s="9" t="inlineStr">
        <is>
          <t>flat</t>
        </is>
      </c>
    </row>
    <row r="750">
      <c r="A750" s="9" t="n">
        <v>749</v>
      </c>
      <c r="B750" s="9" t="inlineStr">
        <is>
          <t>CapCut AI</t>
        </is>
      </c>
      <c r="C750" s="9" t="inlineStr">
        <is>
          <t>Pro</t>
        </is>
      </c>
      <c r="D750" s="9" t="n">
        <v>10</v>
      </c>
      <c r="E750" s="9" t="n">
        <v/>
      </c>
      <c r="F750" s="9" t="inlineStr">
        <is>
          <t>flat</t>
        </is>
      </c>
    </row>
    <row r="751">
      <c r="A751" s="9" t="n">
        <v>750</v>
      </c>
      <c r="B751" s="9" t="inlineStr">
        <is>
          <t>CapCut AI</t>
        </is>
      </c>
      <c r="C751" s="9" t="inlineStr">
        <is>
          <t>Business</t>
        </is>
      </c>
      <c r="D751" s="9" t="n">
        <v>20</v>
      </c>
      <c r="E751" s="9" t="n">
        <v/>
      </c>
      <c r="F751" s="9" t="inlineStr">
        <is>
          <t>flat</t>
        </is>
      </c>
    </row>
    <row r="752">
      <c r="A752" s="9" t="n">
        <v>751</v>
      </c>
      <c r="B752" s="9" t="inlineStr">
        <is>
          <t>vidIQ AI</t>
        </is>
      </c>
      <c r="C752" s="9" t="inlineStr">
        <is>
          <t>Free</t>
        </is>
      </c>
      <c r="D752" s="9" t="n">
        <v>0</v>
      </c>
      <c r="E752" s="9" t="n">
        <v/>
      </c>
      <c r="F752" s="9" t="inlineStr">
        <is>
          <t>flat</t>
        </is>
      </c>
    </row>
    <row r="753">
      <c r="A753" s="9" t="n">
        <v>752</v>
      </c>
      <c r="B753" s="9" t="inlineStr">
        <is>
          <t>vidIQ AI</t>
        </is>
      </c>
      <c r="C753" s="9" t="inlineStr">
        <is>
          <t>Basic</t>
        </is>
      </c>
      <c r="D753" s="9" t="n">
        <v>7</v>
      </c>
      <c r="E753" s="9" t="n">
        <v/>
      </c>
      <c r="F753" s="9" t="inlineStr">
        <is>
          <t>flat</t>
        </is>
      </c>
    </row>
    <row r="754">
      <c r="A754" s="9" t="n">
        <v>753</v>
      </c>
      <c r="B754" s="9" t="inlineStr">
        <is>
          <t>vidIQ AI</t>
        </is>
      </c>
      <c r="C754" s="9" t="inlineStr">
        <is>
          <t>Boost</t>
        </is>
      </c>
      <c r="D754" s="9" t="n">
        <v>39</v>
      </c>
      <c r="E754" s="9" t="n">
        <v/>
      </c>
      <c r="F754" s="9" t="inlineStr">
        <is>
          <t>flat</t>
        </is>
      </c>
    </row>
    <row r="755">
      <c r="A755" s="9" t="n">
        <v>754</v>
      </c>
      <c r="B755" s="9" t="inlineStr">
        <is>
          <t>InVideo AI</t>
        </is>
      </c>
      <c r="C755" s="9" t="inlineStr">
        <is>
          <t>Free</t>
        </is>
      </c>
      <c r="D755" s="9" t="n">
        <v>0</v>
      </c>
      <c r="E755" s="9" t="n">
        <v/>
      </c>
      <c r="F755" s="9" t="inlineStr">
        <is>
          <t>flat</t>
        </is>
      </c>
    </row>
    <row r="756">
      <c r="A756" s="9" t="n">
        <v>755</v>
      </c>
      <c r="B756" s="9" t="inlineStr">
        <is>
          <t>InVideo AI</t>
        </is>
      </c>
      <c r="C756" s="9" t="inlineStr">
        <is>
          <t>Plus</t>
        </is>
      </c>
      <c r="D756" s="9" t="n">
        <v>20</v>
      </c>
      <c r="E756" s="9" t="n">
        <v/>
      </c>
      <c r="F756" s="9" t="inlineStr">
        <is>
          <t>flat</t>
        </is>
      </c>
    </row>
    <row r="757">
      <c r="A757" s="9" t="n">
        <v>756</v>
      </c>
      <c r="B757" s="9" t="inlineStr">
        <is>
          <t>InVideo AI</t>
        </is>
      </c>
      <c r="C757" s="9" t="inlineStr">
        <is>
          <t>Max</t>
        </is>
      </c>
      <c r="D757" s="9" t="n">
        <v>48</v>
      </c>
      <c r="E757" s="9" t="n">
        <v/>
      </c>
      <c r="F757" s="9" t="inlineStr">
        <is>
          <t>flat</t>
        </is>
      </c>
    </row>
    <row r="758">
      <c r="A758" s="9" t="n">
        <v>757</v>
      </c>
      <c r="B758" s="9" t="inlineStr">
        <is>
          <t>Obviously AI</t>
        </is>
      </c>
      <c r="C758" s="9" t="inlineStr">
        <is>
          <t>Starter</t>
        </is>
      </c>
      <c r="D758" s="9" t="n">
        <v>50</v>
      </c>
      <c r="E758" s="9" t="n">
        <v/>
      </c>
      <c r="F758" s="9" t="inlineStr">
        <is>
          <t>per-seat</t>
        </is>
      </c>
    </row>
    <row r="759">
      <c r="A759" s="9" t="n">
        <v>758</v>
      </c>
      <c r="B759" s="9" t="inlineStr">
        <is>
          <t>Obviously AI</t>
        </is>
      </c>
      <c r="C759" s="9" t="inlineStr">
        <is>
          <t>Professional</t>
        </is>
      </c>
      <c r="D759" s="9" t="n">
        <v>100</v>
      </c>
      <c r="E759" s="9" t="n">
        <v/>
      </c>
      <c r="F759" s="9" t="inlineStr">
        <is>
          <t>per-seat</t>
        </is>
      </c>
    </row>
    <row r="760">
      <c r="A760" s="9" t="n">
        <v>759</v>
      </c>
      <c r="B760" s="9" t="inlineStr">
        <is>
          <t>Obviously AI</t>
        </is>
      </c>
      <c r="C760" s="9" t="inlineStr">
        <is>
          <t>Enterprise</t>
        </is>
      </c>
      <c r="D760" s="9" t="n">
        <v/>
      </c>
      <c r="E760" s="9" t="n">
        <v/>
      </c>
      <c r="F760" s="9" t="inlineStr">
        <is>
          <t>flat</t>
        </is>
      </c>
    </row>
    <row r="761">
      <c r="A761" s="9" t="n">
        <v>760</v>
      </c>
      <c r="B761" s="9" t="inlineStr">
        <is>
          <t>DataRobot</t>
        </is>
      </c>
      <c r="C761" s="9" t="inlineStr">
        <is>
          <t>Developer</t>
        </is>
      </c>
      <c r="D761" s="9" t="n">
        <v>0</v>
      </c>
      <c r="E761" s="9" t="n">
        <v/>
      </c>
      <c r="F761" s="9" t="inlineStr">
        <is>
          <t>flat</t>
        </is>
      </c>
    </row>
    <row r="762">
      <c r="A762" s="9" t="n">
        <v>761</v>
      </c>
      <c r="B762" s="9" t="inlineStr">
        <is>
          <t>DataRobot</t>
        </is>
      </c>
      <c r="C762" s="9" t="inlineStr">
        <is>
          <t>Enterprise</t>
        </is>
      </c>
      <c r="D762" s="9" t="n">
        <v/>
      </c>
      <c r="E762" s="9" t="n">
        <v/>
      </c>
      <c r="F762" s="9" t="inlineStr">
        <is>
          <t>flat</t>
        </is>
      </c>
    </row>
    <row r="763">
      <c r="A763" s="9" t="n">
        <v>762</v>
      </c>
      <c r="B763" s="9" t="inlineStr">
        <is>
          <t>Grok</t>
        </is>
      </c>
      <c r="C763" s="9" t="inlineStr">
        <is>
          <t>Free</t>
        </is>
      </c>
      <c r="D763" s="9" t="n">
        <v>0</v>
      </c>
      <c r="E763" s="9" t="n">
        <v/>
      </c>
      <c r="F763" s="9" t="inlineStr">
        <is>
          <t>flat</t>
        </is>
      </c>
    </row>
    <row r="764">
      <c r="A764" s="9" t="n">
        <v>763</v>
      </c>
      <c r="B764" s="9" t="inlineStr">
        <is>
          <t>Grok</t>
        </is>
      </c>
      <c r="C764" s="9" t="inlineStr">
        <is>
          <t>Premium+</t>
        </is>
      </c>
      <c r="D764" s="9" t="n">
        <v>16</v>
      </c>
      <c r="E764" s="9" t="n">
        <v/>
      </c>
      <c r="F764" s="9" t="inlineStr">
        <is>
          <t>flat</t>
        </is>
      </c>
    </row>
    <row r="765">
      <c r="A765" s="9" t="n">
        <v>764</v>
      </c>
      <c r="B765" s="9" t="inlineStr">
        <is>
          <t>DeepSeek</t>
        </is>
      </c>
      <c r="C765" s="9" t="inlineStr">
        <is>
          <t>Free</t>
        </is>
      </c>
      <c r="D765" s="9" t="n">
        <v>0</v>
      </c>
      <c r="E765" s="9" t="n">
        <v/>
      </c>
      <c r="F765" s="9" t="inlineStr">
        <is>
          <t>flat</t>
        </is>
      </c>
    </row>
    <row r="766">
      <c r="A766" s="9" t="n">
        <v>765</v>
      </c>
      <c r="B766" s="9" t="inlineStr">
        <is>
          <t>DeepSeek</t>
        </is>
      </c>
      <c r="C766" s="9" t="inlineStr">
        <is>
          <t>API</t>
        </is>
      </c>
      <c r="D766" s="9" t="n">
        <v/>
      </c>
      <c r="E766" s="9" t="n">
        <v/>
      </c>
      <c r="F766" s="9" t="inlineStr">
        <is>
          <t>flat</t>
        </is>
      </c>
    </row>
    <row r="767">
      <c r="A767" s="9" t="n">
        <v>766</v>
      </c>
      <c r="B767" s="9" t="inlineStr">
        <is>
          <t>Meta AI</t>
        </is>
      </c>
      <c r="C767" s="9" t="inlineStr">
        <is>
          <t>Free</t>
        </is>
      </c>
      <c r="D767" s="9" t="n">
        <v>0</v>
      </c>
      <c r="E767" s="9" t="n">
        <v/>
      </c>
      <c r="F767" s="9" t="inlineStr">
        <is>
          <t>flat</t>
        </is>
      </c>
    </row>
    <row r="768">
      <c r="A768" s="9" t="n">
        <v>767</v>
      </c>
      <c r="B768" s="9" t="inlineStr">
        <is>
          <t>Llama (Meta)</t>
        </is>
      </c>
      <c r="C768" s="9" t="inlineStr">
        <is>
          <t>Open Source</t>
        </is>
      </c>
      <c r="D768" s="9" t="n">
        <v>0</v>
      </c>
      <c r="E768" s="9" t="n">
        <v/>
      </c>
      <c r="F768" s="9" t="inlineStr">
        <is>
          <t>flat</t>
        </is>
      </c>
    </row>
    <row r="769">
      <c r="A769" s="9" t="n">
        <v>768</v>
      </c>
      <c r="B769" s="9" t="inlineStr">
        <is>
          <t>Llama (Meta)</t>
        </is>
      </c>
      <c r="C769" s="9" t="inlineStr">
        <is>
          <t>Cloud (via providers)</t>
        </is>
      </c>
      <c r="D769" s="9" t="n">
        <v/>
      </c>
      <c r="E769" s="9" t="n">
        <v/>
      </c>
      <c r="F769" s="9" t="inlineStr">
        <is>
          <t>flat</t>
        </is>
      </c>
    </row>
    <row r="770">
      <c r="A770" s="9" t="n">
        <v>769</v>
      </c>
      <c r="B770" s="9" t="inlineStr">
        <is>
          <t>Gemini Advanced</t>
        </is>
      </c>
      <c r="C770" s="9" t="inlineStr">
        <is>
          <t>Google One AI Premium</t>
        </is>
      </c>
      <c r="D770" s="9" t="n">
        <v>19.99</v>
      </c>
      <c r="E770" s="9" t="n">
        <v/>
      </c>
      <c r="F770" s="9" t="inlineStr">
        <is>
          <t>flat</t>
        </is>
      </c>
    </row>
    <row r="771">
      <c r="A771" s="9" t="n">
        <v>770</v>
      </c>
      <c r="B771" s="9" t="inlineStr">
        <is>
          <t>GPT-4o</t>
        </is>
      </c>
      <c r="C771" s="9" t="inlineStr">
        <is>
          <t>Free</t>
        </is>
      </c>
      <c r="D771" s="9" t="n">
        <v>0</v>
      </c>
      <c r="E771" s="9" t="n">
        <v/>
      </c>
      <c r="F771" s="9" t="inlineStr">
        <is>
          <t>flat</t>
        </is>
      </c>
    </row>
    <row r="772">
      <c r="A772" s="9" t="n">
        <v>771</v>
      </c>
      <c r="B772" s="9" t="inlineStr">
        <is>
          <t>GPT-4o</t>
        </is>
      </c>
      <c r="C772" s="9" t="inlineStr">
        <is>
          <t>Plus</t>
        </is>
      </c>
      <c r="D772" s="9" t="n">
        <v>20</v>
      </c>
      <c r="E772" s="9" t="n">
        <v/>
      </c>
      <c r="F772" s="9" t="inlineStr">
        <is>
          <t>flat</t>
        </is>
      </c>
    </row>
    <row r="773">
      <c r="A773" s="9" t="n">
        <v>772</v>
      </c>
      <c r="B773" s="9" t="inlineStr">
        <is>
          <t>GPT-4o</t>
        </is>
      </c>
      <c r="C773" s="9" t="inlineStr">
        <is>
          <t>Team</t>
        </is>
      </c>
      <c r="D773" s="9" t="n">
        <v>30</v>
      </c>
      <c r="E773" s="9" t="n">
        <v/>
      </c>
      <c r="F773" s="9" t="inlineStr">
        <is>
          <t>flat</t>
        </is>
      </c>
    </row>
    <row r="774">
      <c r="A774" s="9" t="n">
        <v>773</v>
      </c>
      <c r="B774" s="9" t="inlineStr">
        <is>
          <t>Claude 3.5 Sonnet</t>
        </is>
      </c>
      <c r="C774" s="9" t="inlineStr">
        <is>
          <t>Free</t>
        </is>
      </c>
      <c r="D774" s="9" t="n">
        <v>0</v>
      </c>
      <c r="E774" s="9" t="n">
        <v/>
      </c>
      <c r="F774" s="9" t="inlineStr">
        <is>
          <t>flat</t>
        </is>
      </c>
    </row>
    <row r="775">
      <c r="A775" s="9" t="n">
        <v>774</v>
      </c>
      <c r="B775" s="9" t="inlineStr">
        <is>
          <t>Claude 3.5 Sonnet</t>
        </is>
      </c>
      <c r="C775" s="9" t="inlineStr">
        <is>
          <t>Pro</t>
        </is>
      </c>
      <c r="D775" s="9" t="n">
        <v>20</v>
      </c>
      <c r="E775" s="9" t="n">
        <v/>
      </c>
      <c r="F775" s="9" t="inlineStr">
        <is>
          <t>flat</t>
        </is>
      </c>
    </row>
    <row r="776">
      <c r="A776" s="9" t="n">
        <v>775</v>
      </c>
      <c r="B776" s="9" t="inlineStr">
        <is>
          <t>Claude 3.5 Sonnet</t>
        </is>
      </c>
      <c r="C776" s="9" t="inlineStr">
        <is>
          <t>Team</t>
        </is>
      </c>
      <c r="D776" s="9" t="n">
        <v>30</v>
      </c>
      <c r="E776" s="9" t="n">
        <v/>
      </c>
      <c r="F776" s="9" t="inlineStr">
        <is>
          <t>flat</t>
        </is>
      </c>
    </row>
    <row r="777">
      <c r="A777" s="9" t="n">
        <v>776</v>
      </c>
      <c r="B777" s="9" t="inlineStr">
        <is>
          <t>Gemini 1.5 Pro</t>
        </is>
      </c>
      <c r="C777" s="9" t="inlineStr">
        <is>
          <t>Free</t>
        </is>
      </c>
      <c r="D777" s="9" t="n">
        <v>0</v>
      </c>
      <c r="E777" s="9" t="n">
        <v/>
      </c>
      <c r="F777" s="9" t="inlineStr">
        <is>
          <t>flat</t>
        </is>
      </c>
    </row>
    <row r="778">
      <c r="A778" s="9" t="n">
        <v>777</v>
      </c>
      <c r="B778" s="9" t="inlineStr">
        <is>
          <t>Gemini 1.5 Pro</t>
        </is>
      </c>
      <c r="C778" s="9" t="inlineStr">
        <is>
          <t>Advanced</t>
        </is>
      </c>
      <c r="D778" s="9" t="n">
        <v>20</v>
      </c>
      <c r="E778" s="9" t="n">
        <v/>
      </c>
      <c r="F778" s="9" t="inlineStr">
        <is>
          <t>flat</t>
        </is>
      </c>
    </row>
    <row r="779">
      <c r="A779" s="9" t="n">
        <v>778</v>
      </c>
      <c r="B779" s="9" t="inlineStr">
        <is>
          <t>DeepSeek V3</t>
        </is>
      </c>
      <c r="C779" s="9" t="inlineStr">
        <is>
          <t>Free (API)</t>
        </is>
      </c>
      <c r="D779" s="9" t="n">
        <v>0</v>
      </c>
      <c r="E779" s="9" t="n">
        <v/>
      </c>
      <c r="F779" s="9" t="inlineStr">
        <is>
          <t>flat</t>
        </is>
      </c>
    </row>
    <row r="780">
      <c r="A780" s="9" t="n">
        <v>779</v>
      </c>
      <c r="B780" s="9" t="inlineStr">
        <is>
          <t>DeepSeek V3</t>
        </is>
      </c>
      <c r="C780" s="9" t="inlineStr">
        <is>
          <t>API Pay-as-you-go</t>
        </is>
      </c>
      <c r="D780" s="9" t="n">
        <v>0</v>
      </c>
      <c r="E780" s="9" t="n">
        <v/>
      </c>
      <c r="F780" s="9" t="inlineStr">
        <is>
          <t>flat</t>
        </is>
      </c>
    </row>
    <row r="781">
      <c r="A781" s="9" t="n">
        <v>780</v>
      </c>
      <c r="B781" s="9" t="inlineStr">
        <is>
          <t>Llama 3.1</t>
        </is>
      </c>
      <c r="C781" s="9" t="inlineStr">
        <is>
          <t>Free (open-source)</t>
        </is>
      </c>
      <c r="D781" s="9" t="n">
        <v>0</v>
      </c>
      <c r="E781" s="9" t="n">
        <v/>
      </c>
      <c r="F781" s="9" t="inlineStr">
        <is>
          <t>flat</t>
        </is>
      </c>
    </row>
    <row r="782">
      <c r="A782" s="9" t="n">
        <v>781</v>
      </c>
      <c r="B782" s="9" t="inlineStr">
        <is>
          <t>Llama 3.1</t>
        </is>
      </c>
      <c r="C782" s="9" t="inlineStr">
        <is>
          <t>Via API providers</t>
        </is>
      </c>
      <c r="D782" s="9" t="n">
        <v>0</v>
      </c>
      <c r="E782" s="9" t="n">
        <v/>
      </c>
      <c r="F782" s="9" t="inlineStr">
        <is>
          <t>flat</t>
        </is>
      </c>
    </row>
    <row r="783">
      <c r="A783" s="9" t="n">
        <v>782</v>
      </c>
      <c r="B783" s="9" t="inlineStr">
        <is>
          <t>Mistral Large</t>
        </is>
      </c>
      <c r="C783" s="9" t="inlineStr">
        <is>
          <t>Free tier</t>
        </is>
      </c>
      <c r="D783" s="9" t="n">
        <v>0</v>
      </c>
      <c r="E783" s="9" t="n">
        <v/>
      </c>
      <c r="F783" s="9" t="inlineStr">
        <is>
          <t>flat</t>
        </is>
      </c>
    </row>
    <row r="784">
      <c r="A784" s="9" t="n">
        <v>783</v>
      </c>
      <c r="B784" s="9" t="inlineStr">
        <is>
          <t>Mistral Large</t>
        </is>
      </c>
      <c r="C784" s="9" t="inlineStr">
        <is>
          <t>Pay-as-you-go</t>
        </is>
      </c>
      <c r="D784" s="9" t="n">
        <v>0</v>
      </c>
      <c r="E784" s="9" t="n">
        <v/>
      </c>
      <c r="F784" s="9" t="inlineStr">
        <is>
          <t>flat</t>
        </is>
      </c>
    </row>
    <row r="785">
      <c r="A785" s="9" t="n">
        <v>784</v>
      </c>
      <c r="B785" s="9" t="inlineStr">
        <is>
          <t>Grok 2</t>
        </is>
      </c>
      <c r="C785" s="9" t="inlineStr">
        <is>
          <t>Free</t>
        </is>
      </c>
      <c r="D785" s="9" t="n">
        <v>0</v>
      </c>
      <c r="E785" s="9" t="n">
        <v/>
      </c>
      <c r="F785" s="9" t="inlineStr">
        <is>
          <t>flat</t>
        </is>
      </c>
    </row>
    <row r="786">
      <c r="A786" s="9" t="n">
        <v>785</v>
      </c>
      <c r="B786" s="9" t="inlineStr">
        <is>
          <t>Grok 2</t>
        </is>
      </c>
      <c r="C786" s="9" t="inlineStr">
        <is>
          <t>X Premium</t>
        </is>
      </c>
      <c r="D786" s="9" t="n">
        <v>8</v>
      </c>
      <c r="E786" s="9" t="n">
        <v/>
      </c>
      <c r="F786" s="9" t="inlineStr">
        <is>
          <t>flat</t>
        </is>
      </c>
    </row>
    <row r="787">
      <c r="A787" s="9" t="n">
        <v>786</v>
      </c>
      <c r="B787" s="9" t="inlineStr">
        <is>
          <t>Grok 2</t>
        </is>
      </c>
      <c r="C787" s="9" t="inlineStr">
        <is>
          <t>X Premium+</t>
        </is>
      </c>
      <c r="D787" s="9" t="n">
        <v>16</v>
      </c>
      <c r="E787" s="9" t="n">
        <v/>
      </c>
      <c r="F787" s="9" t="inlineStr">
        <is>
          <t>flat</t>
        </is>
      </c>
    </row>
    <row r="788">
      <c r="A788" s="9" t="n">
        <v>787</v>
      </c>
      <c r="B788" s="9" t="inlineStr">
        <is>
          <t>OpenAI o1</t>
        </is>
      </c>
      <c r="C788" s="9" t="inlineStr">
        <is>
          <t>Plus</t>
        </is>
      </c>
      <c r="D788" s="9" t="n">
        <v>20</v>
      </c>
      <c r="E788" s="9" t="n">
        <v/>
      </c>
      <c r="F788" s="9" t="inlineStr">
        <is>
          <t>flat</t>
        </is>
      </c>
    </row>
    <row r="789">
      <c r="A789" s="9" t="n">
        <v>788</v>
      </c>
      <c r="B789" s="9" t="inlineStr">
        <is>
          <t>OpenAI o1</t>
        </is>
      </c>
      <c r="C789" s="9" t="inlineStr">
        <is>
          <t>Pro</t>
        </is>
      </c>
      <c r="D789" s="9" t="n">
        <v>200</v>
      </c>
      <c r="E789" s="9" t="n">
        <v/>
      </c>
      <c r="F789" s="9" t="inlineStr">
        <is>
          <t>flat</t>
        </is>
      </c>
    </row>
    <row r="790">
      <c r="A790" s="9" t="n">
        <v>789</v>
      </c>
      <c r="B790" s="9" t="inlineStr">
        <is>
          <t>Command R+</t>
        </is>
      </c>
      <c r="C790" s="9" t="inlineStr">
        <is>
          <t>Trial</t>
        </is>
      </c>
      <c r="D790" s="9" t="n">
        <v>0</v>
      </c>
      <c r="E790" s="9" t="n">
        <v/>
      </c>
      <c r="F790" s="9" t="inlineStr">
        <is>
          <t>flat</t>
        </is>
      </c>
    </row>
    <row r="791">
      <c r="A791" s="9" t="n">
        <v>790</v>
      </c>
      <c r="B791" s="9" t="inlineStr">
        <is>
          <t>Command R+</t>
        </is>
      </c>
      <c r="C791" s="9" t="inlineStr">
        <is>
          <t>Production</t>
        </is>
      </c>
      <c r="D791" s="9" t="n">
        <v>0</v>
      </c>
      <c r="E791" s="9" t="n">
        <v/>
      </c>
      <c r="F791" s="9" t="inlineStr">
        <is>
          <t>flat</t>
        </is>
      </c>
    </row>
    <row r="792">
      <c r="A792" s="9" t="n">
        <v>791</v>
      </c>
      <c r="B792" s="9" t="inlineStr">
        <is>
          <t>Phi-3</t>
        </is>
      </c>
      <c r="C792" s="9" t="inlineStr">
        <is>
          <t>Free (open-source)</t>
        </is>
      </c>
      <c r="D792" s="9" t="n">
        <v>0</v>
      </c>
      <c r="E792" s="9" t="n">
        <v/>
      </c>
      <c r="F792" s="9" t="inlineStr">
        <is>
          <t>flat</t>
        </is>
      </c>
    </row>
    <row r="793">
      <c r="A793" s="9" t="n">
        <v>792</v>
      </c>
      <c r="B793" s="9" t="inlineStr">
        <is>
          <t>Phi-3</t>
        </is>
      </c>
      <c r="C793" s="9" t="inlineStr">
        <is>
          <t>Azure AI</t>
        </is>
      </c>
      <c r="D793" s="9" t="n">
        <v>0</v>
      </c>
      <c r="E793" s="9" t="n">
        <v/>
      </c>
      <c r="F793" s="9" t="inlineStr">
        <is>
          <t>flat</t>
        </is>
      </c>
    </row>
    <row r="794">
      <c r="A794" s="9" t="n">
        <v>793</v>
      </c>
      <c r="B794" s="9" t="inlineStr">
        <is>
          <t>AutoGPT</t>
        </is>
      </c>
      <c r="C794" s="9" t="inlineStr">
        <is>
          <t>Open Source</t>
        </is>
      </c>
      <c r="D794" s="9" t="n">
        <v>0</v>
      </c>
      <c r="E794" s="9" t="n">
        <v/>
      </c>
      <c r="F794" s="9" t="inlineStr">
        <is>
          <t>flat</t>
        </is>
      </c>
    </row>
    <row r="795">
      <c r="A795" s="9" t="n">
        <v>794</v>
      </c>
      <c r="B795" s="9" t="inlineStr">
        <is>
          <t>AutoGPT</t>
        </is>
      </c>
      <c r="C795" s="9" t="inlineStr">
        <is>
          <t>Cloud Beta</t>
        </is>
      </c>
      <c r="D795" s="9" t="n">
        <v>0</v>
      </c>
      <c r="E795" s="9" t="n">
        <v/>
      </c>
      <c r="F795" s="9" t="inlineStr">
        <is>
          <t>flat</t>
        </is>
      </c>
    </row>
    <row r="796">
      <c r="A796" s="9" t="n">
        <v>795</v>
      </c>
      <c r="B796" s="9" t="inlineStr">
        <is>
          <t>CrewAI</t>
        </is>
      </c>
      <c r="C796" s="9" t="inlineStr">
        <is>
          <t>Open Source</t>
        </is>
      </c>
      <c r="D796" s="9" t="n">
        <v>0</v>
      </c>
      <c r="E796" s="9" t="n">
        <v/>
      </c>
      <c r="F796" s="9" t="inlineStr">
        <is>
          <t>flat</t>
        </is>
      </c>
    </row>
    <row r="797">
      <c r="A797" s="9" t="n">
        <v>796</v>
      </c>
      <c r="B797" s="9" t="inlineStr">
        <is>
          <t>CrewAI</t>
        </is>
      </c>
      <c r="C797" s="9" t="inlineStr">
        <is>
          <t>Enterprise</t>
        </is>
      </c>
      <c r="D797" s="9" t="n">
        <v>0</v>
      </c>
      <c r="E797" s="9" t="n">
        <v/>
      </c>
      <c r="F797" s="9" t="inlineStr">
        <is>
          <t>flat</t>
        </is>
      </c>
    </row>
    <row r="798">
      <c r="A798" s="9" t="n">
        <v>797</v>
      </c>
      <c r="B798" s="9" t="inlineStr">
        <is>
          <t>Devin</t>
        </is>
      </c>
      <c r="C798" s="9" t="inlineStr">
        <is>
          <t>Starter</t>
        </is>
      </c>
      <c r="D798" s="9" t="n">
        <v>20</v>
      </c>
      <c r="E798" s="9" t="n">
        <v/>
      </c>
      <c r="F798" s="9" t="inlineStr">
        <is>
          <t>flat</t>
        </is>
      </c>
    </row>
    <row r="799">
      <c r="A799" s="9" t="n">
        <v>798</v>
      </c>
      <c r="B799" s="9" t="inlineStr">
        <is>
          <t>Devin</t>
        </is>
      </c>
      <c r="C799" s="9" t="inlineStr">
        <is>
          <t>Pro</t>
        </is>
      </c>
      <c r="D799" s="9" t="n">
        <v>80</v>
      </c>
      <c r="E799" s="9" t="n">
        <v/>
      </c>
      <c r="F799" s="9" t="inlineStr">
        <is>
          <t>flat</t>
        </is>
      </c>
    </row>
    <row r="800">
      <c r="A800" s="9" t="n">
        <v>799</v>
      </c>
      <c r="B800" s="9" t="inlineStr">
        <is>
          <t>Devin</t>
        </is>
      </c>
      <c r="C800" s="9" t="inlineStr">
        <is>
          <t>Enterprise</t>
        </is>
      </c>
      <c r="D800" s="9" t="n">
        <v/>
      </c>
      <c r="E800" s="9" t="n">
        <v/>
      </c>
      <c r="F800" s="9" t="inlineStr">
        <is>
          <t>flat</t>
        </is>
      </c>
    </row>
    <row r="801">
      <c r="A801" s="9" t="n">
        <v>800</v>
      </c>
      <c r="B801" s="9" t="inlineStr">
        <is>
          <t>OpenAI Agents SDK</t>
        </is>
      </c>
      <c r="C801" s="9" t="inlineStr">
        <is>
          <t>Free SDK</t>
        </is>
      </c>
      <c r="D801" s="9" t="n">
        <v>0</v>
      </c>
      <c r="E801" s="9" t="n">
        <v/>
      </c>
      <c r="F801" s="9" t="inlineStr">
        <is>
          <t>flat</t>
        </is>
      </c>
    </row>
    <row r="802">
      <c r="A802" s="9" t="n">
        <v>801</v>
      </c>
      <c r="B802" s="9" t="inlineStr">
        <is>
          <t>OpenAI Agents SDK</t>
        </is>
      </c>
      <c r="C802" s="9" t="inlineStr">
        <is>
          <t>API costs</t>
        </is>
      </c>
      <c r="D802" s="9" t="n">
        <v>0</v>
      </c>
      <c r="E802" s="9" t="n">
        <v/>
      </c>
      <c r="F802" s="9" t="inlineStr">
        <is>
          <t>flat</t>
        </is>
      </c>
    </row>
    <row r="803">
      <c r="A803" s="9" t="n">
        <v>802</v>
      </c>
      <c r="B803" s="9" t="inlineStr">
        <is>
          <t>Relevance AI</t>
        </is>
      </c>
      <c r="C803" s="9" t="inlineStr">
        <is>
          <t>Free</t>
        </is>
      </c>
      <c r="D803" s="9" t="n">
        <v>0</v>
      </c>
      <c r="E803" s="9" t="n">
        <v/>
      </c>
      <c r="F803" s="9" t="inlineStr">
        <is>
          <t>flat</t>
        </is>
      </c>
    </row>
    <row r="804">
      <c r="A804" s="9" t="n">
        <v>803</v>
      </c>
      <c r="B804" s="9" t="inlineStr">
        <is>
          <t>Relevance AI</t>
        </is>
      </c>
      <c r="C804" s="9" t="inlineStr">
        <is>
          <t>Pro</t>
        </is>
      </c>
      <c r="D804" s="9" t="n">
        <v>19</v>
      </c>
      <c r="E804" s="9" t="n">
        <v/>
      </c>
      <c r="F804" s="9" t="inlineStr">
        <is>
          <t>flat</t>
        </is>
      </c>
    </row>
    <row r="805">
      <c r="A805" s="9" t="n">
        <v>804</v>
      </c>
      <c r="B805" s="9" t="inlineStr">
        <is>
          <t>Relevance AI</t>
        </is>
      </c>
      <c r="C805" s="9" t="inlineStr">
        <is>
          <t>Team</t>
        </is>
      </c>
      <c r="D805" s="9" t="n">
        <v>199</v>
      </c>
      <c r="E805" s="9" t="n">
        <v/>
      </c>
      <c r="F805" s="9" t="inlineStr">
        <is>
          <t>flat</t>
        </is>
      </c>
    </row>
    <row r="806">
      <c r="A806" s="9" t="n">
        <v>805</v>
      </c>
      <c r="B806" s="9" t="inlineStr">
        <is>
          <t>Intercom Fin</t>
        </is>
      </c>
      <c r="C806" s="9" t="inlineStr">
        <is>
          <t>Essential</t>
        </is>
      </c>
      <c r="D806" s="9" t="n">
        <v>39</v>
      </c>
      <c r="E806" s="9" t="n">
        <v/>
      </c>
      <c r="F806" s="9" t="inlineStr">
        <is>
          <t>flat</t>
        </is>
      </c>
    </row>
    <row r="807">
      <c r="A807" s="9" t="n">
        <v>806</v>
      </c>
      <c r="B807" s="9" t="inlineStr">
        <is>
          <t>Intercom Fin</t>
        </is>
      </c>
      <c r="C807" s="9" t="inlineStr">
        <is>
          <t>Advanced</t>
        </is>
      </c>
      <c r="D807" s="9" t="n">
        <v>99</v>
      </c>
      <c r="E807" s="9" t="n">
        <v/>
      </c>
      <c r="F807" s="9" t="inlineStr">
        <is>
          <t>flat</t>
        </is>
      </c>
    </row>
    <row r="808">
      <c r="A808" s="9" t="n">
        <v>807</v>
      </c>
      <c r="B808" s="9" t="inlineStr">
        <is>
          <t>Tidio</t>
        </is>
      </c>
      <c r="C808" s="9" t="inlineStr">
        <is>
          <t>Free</t>
        </is>
      </c>
      <c r="D808" s="9" t="n">
        <v>0</v>
      </c>
      <c r="E808" s="9" t="n">
        <v/>
      </c>
      <c r="F808" s="9" t="inlineStr">
        <is>
          <t>flat</t>
        </is>
      </c>
    </row>
    <row r="809">
      <c r="A809" s="9" t="n">
        <v>808</v>
      </c>
      <c r="B809" s="9" t="inlineStr">
        <is>
          <t>Tidio</t>
        </is>
      </c>
      <c r="C809" s="9" t="inlineStr">
        <is>
          <t>Lyro AI</t>
        </is>
      </c>
      <c r="D809" s="9" t="n">
        <v>39</v>
      </c>
      <c r="E809" s="9" t="n">
        <v/>
      </c>
      <c r="F809" s="9" t="inlineStr">
        <is>
          <t>flat</t>
        </is>
      </c>
    </row>
    <row r="810">
      <c r="A810" s="9" t="n">
        <v>809</v>
      </c>
      <c r="B810" s="9" t="inlineStr">
        <is>
          <t>Tidio</t>
        </is>
      </c>
      <c r="C810" s="9" t="inlineStr">
        <is>
          <t>Growth</t>
        </is>
      </c>
      <c r="D810" s="9" t="n">
        <v>59</v>
      </c>
      <c r="E810" s="9" t="n">
        <v/>
      </c>
      <c r="F810" s="9" t="inlineStr">
        <is>
          <t>flat</t>
        </is>
      </c>
    </row>
    <row r="811">
      <c r="A811" s="9" t="n">
        <v>810</v>
      </c>
      <c r="B811" s="9" t="inlineStr">
        <is>
          <t>Chatbase</t>
        </is>
      </c>
      <c r="C811" s="9" t="inlineStr">
        <is>
          <t>Free</t>
        </is>
      </c>
      <c r="D811" s="9" t="n">
        <v>0</v>
      </c>
      <c r="E811" s="9" t="n">
        <v/>
      </c>
      <c r="F811" s="9" t="inlineStr">
        <is>
          <t>flat</t>
        </is>
      </c>
    </row>
    <row r="812">
      <c r="A812" s="9" t="n">
        <v>811</v>
      </c>
      <c r="B812" s="9" t="inlineStr">
        <is>
          <t>Chatbase</t>
        </is>
      </c>
      <c r="C812" s="9" t="inlineStr">
        <is>
          <t>Hobby</t>
        </is>
      </c>
      <c r="D812" s="9" t="n">
        <v>32</v>
      </c>
      <c r="E812" s="9" t="n">
        <v/>
      </c>
      <c r="F812" s="9" t="inlineStr">
        <is>
          <t>flat</t>
        </is>
      </c>
    </row>
    <row r="813">
      <c r="A813" s="9" t="n">
        <v>812</v>
      </c>
      <c r="B813" s="9" t="inlineStr">
        <is>
          <t>Chatbase</t>
        </is>
      </c>
      <c r="C813" s="9" t="inlineStr">
        <is>
          <t>Standard</t>
        </is>
      </c>
      <c r="D813" s="9" t="n">
        <v>120</v>
      </c>
      <c r="E813" s="9" t="n">
        <v/>
      </c>
      <c r="F813" s="9" t="inlineStr">
        <is>
          <t>flat</t>
        </is>
      </c>
    </row>
    <row r="814">
      <c r="A814" s="9" t="n">
        <v>813</v>
      </c>
      <c r="B814" s="9" t="inlineStr">
        <is>
          <t>Chatbase</t>
        </is>
      </c>
      <c r="C814" s="9" t="inlineStr">
        <is>
          <t>Pro</t>
        </is>
      </c>
      <c r="D814" s="9" t="n">
        <v>300</v>
      </c>
      <c r="E814" s="9" t="n">
        <v/>
      </c>
      <c r="F814" s="9" t="inlineStr">
        <is>
          <t>flat</t>
        </is>
      </c>
    </row>
    <row r="815">
      <c r="A815" s="9" t="n">
        <v>814</v>
      </c>
      <c r="B815" s="9" t="inlineStr">
        <is>
          <t>Botpress</t>
        </is>
      </c>
      <c r="C815" s="9" t="inlineStr">
        <is>
          <t>Free</t>
        </is>
      </c>
      <c r="D815" s="9" t="n">
        <v>0</v>
      </c>
      <c r="E815" s="9" t="n">
        <v/>
      </c>
      <c r="F815" s="9" t="inlineStr">
        <is>
          <t>flat</t>
        </is>
      </c>
    </row>
    <row r="816">
      <c r="A816" s="9" t="n">
        <v>815</v>
      </c>
      <c r="B816" s="9" t="inlineStr">
        <is>
          <t>Botpress</t>
        </is>
      </c>
      <c r="C816" s="9" t="inlineStr">
        <is>
          <t>Plus</t>
        </is>
      </c>
      <c r="D816" s="9" t="n">
        <v>89</v>
      </c>
      <c r="E816" s="9" t="n">
        <v/>
      </c>
      <c r="F816" s="9" t="inlineStr">
        <is>
          <t>flat</t>
        </is>
      </c>
    </row>
    <row r="817">
      <c r="A817" s="9" t="n">
        <v>816</v>
      </c>
      <c r="B817" s="9" t="inlineStr">
        <is>
          <t>Voiceflow</t>
        </is>
      </c>
      <c r="C817" s="9" t="inlineStr">
        <is>
          <t>Free</t>
        </is>
      </c>
      <c r="D817" s="9" t="n">
        <v>0</v>
      </c>
      <c r="E817" s="9" t="n">
        <v/>
      </c>
      <c r="F817" s="9" t="inlineStr">
        <is>
          <t>flat</t>
        </is>
      </c>
    </row>
    <row r="818">
      <c r="A818" s="9" t="n">
        <v>817</v>
      </c>
      <c r="B818" s="9" t="inlineStr">
        <is>
          <t>Voiceflow</t>
        </is>
      </c>
      <c r="C818" s="9" t="inlineStr">
        <is>
          <t>Pro</t>
        </is>
      </c>
      <c r="D818" s="9" t="n">
        <v>40</v>
      </c>
      <c r="E818" s="9" t="n">
        <v/>
      </c>
      <c r="F818" s="9" t="inlineStr">
        <is>
          <t>flat</t>
        </is>
      </c>
    </row>
    <row r="819">
      <c r="A819" s="9" t="n">
        <v>818</v>
      </c>
      <c r="B819" s="9" t="inlineStr">
        <is>
          <t>Voiceflow</t>
        </is>
      </c>
      <c r="C819" s="9" t="inlineStr">
        <is>
          <t>Team</t>
        </is>
      </c>
      <c r="D819" s="9" t="n">
        <v>125</v>
      </c>
      <c r="E819" s="9" t="n">
        <v/>
      </c>
      <c r="F819" s="9" t="inlineStr">
        <is>
          <t>flat</t>
        </is>
      </c>
    </row>
    <row r="820">
      <c r="A820" s="9" t="n">
        <v>819</v>
      </c>
      <c r="B820" s="9" t="inlineStr">
        <is>
          <t>Windsurf</t>
        </is>
      </c>
      <c r="C820" s="9" t="inlineStr">
        <is>
          <t>Free</t>
        </is>
      </c>
      <c r="D820" s="9" t="n">
        <v>0</v>
      </c>
      <c r="E820" s="9" t="n">
        <v/>
      </c>
      <c r="F820" s="9" t="inlineStr">
        <is>
          <t>flat</t>
        </is>
      </c>
    </row>
    <row r="821">
      <c r="A821" s="9" t="n">
        <v>820</v>
      </c>
      <c r="B821" s="9" t="inlineStr">
        <is>
          <t>Windsurf</t>
        </is>
      </c>
      <c r="C821" s="9" t="inlineStr">
        <is>
          <t>Pro</t>
        </is>
      </c>
      <c r="D821" s="9" t="n">
        <v>20</v>
      </c>
      <c r="E821" s="9" t="n">
        <v/>
      </c>
      <c r="F821" s="9" t="inlineStr">
        <is>
          <t>flat</t>
        </is>
      </c>
    </row>
    <row r="822">
      <c r="A822" s="9" t="n">
        <v>821</v>
      </c>
      <c r="B822" s="9" t="inlineStr">
        <is>
          <t>Windsurf</t>
        </is>
      </c>
      <c r="C822" s="9" t="inlineStr">
        <is>
          <t>Teams</t>
        </is>
      </c>
      <c r="D822" s="9" t="n">
        <v>40</v>
      </c>
      <c r="E822" s="9" t="n">
        <v/>
      </c>
      <c r="F822" s="9" t="inlineStr">
        <is>
          <t>per-seat</t>
        </is>
      </c>
    </row>
    <row r="823">
      <c r="A823" s="9" t="n">
        <v>822</v>
      </c>
      <c r="B823" s="9" t="inlineStr">
        <is>
          <t>Windsurf</t>
        </is>
      </c>
      <c r="C823" s="9" t="inlineStr">
        <is>
          <t>Enterprise</t>
        </is>
      </c>
      <c r="D823" s="9" t="n">
        <v/>
      </c>
      <c r="E823" s="9" t="n">
        <v/>
      </c>
      <c r="F823" s="9" t="inlineStr">
        <is>
          <t>flat</t>
        </is>
      </c>
    </row>
    <row r="824">
      <c r="A824" s="9" t="n">
        <v>823</v>
      </c>
      <c r="B824" s="9" t="inlineStr">
        <is>
          <t>Surfer SEO</t>
        </is>
      </c>
      <c r="C824" s="9" t="inlineStr">
        <is>
          <t>Standard</t>
        </is>
      </c>
      <c r="D824" s="9" t="n">
        <v>99</v>
      </c>
      <c r="E824" s="9" t="n">
        <v/>
      </c>
      <c r="F824" s="9" t="inlineStr">
        <is>
          <t>flat</t>
        </is>
      </c>
    </row>
    <row r="825">
      <c r="A825" s="9" t="n">
        <v>824</v>
      </c>
      <c r="B825" s="9" t="inlineStr">
        <is>
          <t>Surfer SEO</t>
        </is>
      </c>
      <c r="C825" s="9" t="inlineStr">
        <is>
          <t>Pro</t>
        </is>
      </c>
      <c r="D825" s="9" t="n">
        <v>182</v>
      </c>
      <c r="E825" s="9" t="n">
        <v/>
      </c>
      <c r="F825" s="9" t="inlineStr">
        <is>
          <t>flat</t>
        </is>
      </c>
    </row>
    <row r="826">
      <c r="A826" s="9" t="n">
        <v>825</v>
      </c>
      <c r="B826" s="9" t="inlineStr">
        <is>
          <t>Surfer SEO</t>
        </is>
      </c>
      <c r="C826" s="9" t="inlineStr">
        <is>
          <t>Enterprise</t>
        </is>
      </c>
      <c r="D826" s="9" t="n">
        <v/>
      </c>
      <c r="E826" s="9" t="n">
        <v/>
      </c>
      <c r="F826" s="9" t="inlineStr">
        <is>
          <t>flat</t>
        </is>
      </c>
    </row>
    <row r="827">
      <c r="A827" s="9" t="n">
        <v>826</v>
      </c>
      <c r="B827" s="9" t="inlineStr">
        <is>
          <t>Flux</t>
        </is>
      </c>
      <c r="C827" s="9" t="inlineStr">
        <is>
          <t>Free (open-source)</t>
        </is>
      </c>
      <c r="D827" s="9" t="n">
        <v>0</v>
      </c>
      <c r="E827" s="9" t="n">
        <v/>
      </c>
      <c r="F827" s="9" t="inlineStr">
        <is>
          <t>flat</t>
        </is>
      </c>
    </row>
    <row r="828">
      <c r="A828" s="9" t="n">
        <v>827</v>
      </c>
      <c r="B828" s="9" t="inlineStr">
        <is>
          <t>Flux</t>
        </is>
      </c>
      <c r="C828" s="9" t="inlineStr">
        <is>
          <t>API</t>
        </is>
      </c>
      <c r="D828" s="9" t="n">
        <v>0</v>
      </c>
      <c r="E828" s="9" t="n">
        <v/>
      </c>
      <c r="F828" s="9" t="inlineStr">
        <is>
          <t>flat</t>
        </is>
      </c>
    </row>
    <row r="829">
      <c r="A829" s="9" t="n">
        <v>828</v>
      </c>
      <c r="B829" s="9" t="inlineStr">
        <is>
          <t>Sora</t>
        </is>
      </c>
      <c r="C829" s="9" t="inlineStr">
        <is>
          <t>Plus</t>
        </is>
      </c>
      <c r="D829" s="9" t="n">
        <v>20</v>
      </c>
      <c r="E829" s="9" t="n">
        <v/>
      </c>
      <c r="F829" s="9" t="inlineStr">
        <is>
          <t>flat</t>
        </is>
      </c>
    </row>
    <row r="830">
      <c r="A830" s="9" t="n">
        <v>829</v>
      </c>
      <c r="B830" s="9" t="inlineStr">
        <is>
          <t>Sora</t>
        </is>
      </c>
      <c r="C830" s="9" t="inlineStr">
        <is>
          <t>Pro</t>
        </is>
      </c>
      <c r="D830" s="9" t="n">
        <v>200</v>
      </c>
      <c r="E830" s="9" t="n">
        <v/>
      </c>
      <c r="F830" s="9" t="inlineStr">
        <is>
          <t>flat</t>
        </is>
      </c>
    </row>
    <row r="831">
      <c r="A831" s="9" t="n">
        <v>830</v>
      </c>
      <c r="B831" s="9" t="inlineStr">
        <is>
          <t>Speechify</t>
        </is>
      </c>
      <c r="C831" s="9" t="inlineStr">
        <is>
          <t>Free</t>
        </is>
      </c>
      <c r="D831" s="9" t="n">
        <v>0</v>
      </c>
      <c r="E831" s="9" t="n">
        <v/>
      </c>
      <c r="F831" s="9" t="inlineStr">
        <is>
          <t>flat</t>
        </is>
      </c>
    </row>
    <row r="832">
      <c r="A832" s="9" t="n">
        <v>831</v>
      </c>
      <c r="B832" s="9" t="inlineStr">
        <is>
          <t>Speechify</t>
        </is>
      </c>
      <c r="C832" s="9" t="inlineStr">
        <is>
          <t>Premium</t>
        </is>
      </c>
      <c r="D832" s="9" t="n">
        <v>29</v>
      </c>
      <c r="E832" s="9" t="n">
        <v/>
      </c>
      <c r="F832" s="9" t="inlineStr">
        <is>
          <t>flat</t>
        </is>
      </c>
    </row>
    <row r="833">
      <c r="A833" s="9" t="n">
        <v>832</v>
      </c>
      <c r="B833" s="9" t="inlineStr">
        <is>
          <t>3Commas</t>
        </is>
      </c>
      <c r="C833" s="9" t="inlineStr">
        <is>
          <t>Free</t>
        </is>
      </c>
      <c r="D833" s="9" t="n">
        <v>0</v>
      </c>
      <c r="E833" s="9" t="n">
        <v/>
      </c>
      <c r="F833" s="9" t="inlineStr">
        <is>
          <t>flat</t>
        </is>
      </c>
    </row>
    <row r="834">
      <c r="A834" s="9" t="n">
        <v>833</v>
      </c>
      <c r="B834" s="9" t="inlineStr">
        <is>
          <t>3Commas</t>
        </is>
      </c>
      <c r="C834" s="9" t="inlineStr">
        <is>
          <t>Starter</t>
        </is>
      </c>
      <c r="D834" s="9" t="n">
        <v>15</v>
      </c>
      <c r="E834" s="9" t="n">
        <v/>
      </c>
      <c r="F834" s="9" t="inlineStr">
        <is>
          <t>flat</t>
        </is>
      </c>
    </row>
    <row r="835">
      <c r="A835" s="9" t="n">
        <v>834</v>
      </c>
      <c r="B835" s="9" t="inlineStr">
        <is>
          <t>3Commas</t>
        </is>
      </c>
      <c r="C835" s="9" t="inlineStr">
        <is>
          <t>Pro</t>
        </is>
      </c>
      <c r="D835" s="9" t="n">
        <v>40</v>
      </c>
      <c r="E835" s="9" t="n">
        <v/>
      </c>
      <c r="F835" s="9" t="inlineStr">
        <is>
          <t>flat</t>
        </is>
      </c>
    </row>
    <row r="836">
      <c r="A836" s="9" t="n">
        <v>835</v>
      </c>
      <c r="B836" s="9" t="inlineStr">
        <is>
          <t>3Commas</t>
        </is>
      </c>
      <c r="C836" s="9" t="inlineStr">
        <is>
          <t>Expert</t>
        </is>
      </c>
      <c r="D836" s="9" t="n">
        <v>60</v>
      </c>
      <c r="E836" s="9" t="n">
        <v/>
      </c>
      <c r="F836" s="9" t="inlineStr">
        <is>
          <t>flat</t>
        </is>
      </c>
    </row>
    <row r="837">
      <c r="A837" s="9" t="n">
        <v>836</v>
      </c>
      <c r="B837" s="9" t="inlineStr">
        <is>
          <t>Cryptohopper</t>
        </is>
      </c>
      <c r="C837" s="9" t="inlineStr">
        <is>
          <t>Free</t>
        </is>
      </c>
      <c r="D837" s="9" t="n">
        <v>0</v>
      </c>
      <c r="E837" s="9" t="n">
        <v/>
      </c>
      <c r="F837" s="9" t="inlineStr">
        <is>
          <t>flat</t>
        </is>
      </c>
    </row>
    <row r="838">
      <c r="A838" s="9" t="n">
        <v>837</v>
      </c>
      <c r="B838" s="9" t="inlineStr">
        <is>
          <t>Cryptohopper</t>
        </is>
      </c>
      <c r="C838" s="9" t="inlineStr">
        <is>
          <t>Explorer</t>
        </is>
      </c>
      <c r="D838" s="9" t="n">
        <v>29</v>
      </c>
      <c r="E838" s="9" t="n">
        <v/>
      </c>
      <c r="F838" s="9" t="inlineStr">
        <is>
          <t>flat</t>
        </is>
      </c>
    </row>
    <row r="839">
      <c r="A839" s="9" t="n">
        <v>838</v>
      </c>
      <c r="B839" s="9" t="inlineStr">
        <is>
          <t>Cryptohopper</t>
        </is>
      </c>
      <c r="C839" s="9" t="inlineStr">
        <is>
          <t>Adventurer</t>
        </is>
      </c>
      <c r="D839" s="9" t="n">
        <v>69</v>
      </c>
      <c r="E839" s="9" t="n">
        <v/>
      </c>
      <c r="F839" s="9" t="inlineStr">
        <is>
          <t>flat</t>
        </is>
      </c>
    </row>
    <row r="840">
      <c r="A840" s="9" t="n">
        <v>839</v>
      </c>
      <c r="B840" s="9" t="inlineStr">
        <is>
          <t>Cryptohopper</t>
        </is>
      </c>
      <c r="C840" s="9" t="inlineStr">
        <is>
          <t>Hero</t>
        </is>
      </c>
      <c r="D840" s="9" t="n">
        <v>129</v>
      </c>
      <c r="E840" s="9" t="n">
        <v/>
      </c>
      <c r="F840" s="9" t="inlineStr">
        <is>
          <t>flat</t>
        </is>
      </c>
    </row>
    <row r="841">
      <c r="A841" s="9" t="n">
        <v>840</v>
      </c>
      <c r="B841" s="9" t="inlineStr">
        <is>
          <t>Pionex</t>
        </is>
      </c>
      <c r="C841" s="9" t="inlineStr">
        <is>
          <t>Standard</t>
        </is>
      </c>
      <c r="D841" s="9" t="n">
        <v>0</v>
      </c>
      <c r="E841" s="9" t="n">
        <v/>
      </c>
      <c r="F841" s="9" t="inlineStr">
        <is>
          <t>flat</t>
        </is>
      </c>
    </row>
    <row r="842">
      <c r="A842" s="9" t="n">
        <v>841</v>
      </c>
      <c r="B842" s="9" t="inlineStr">
        <is>
          <t>Pionex</t>
        </is>
      </c>
      <c r="C842" s="9" t="inlineStr">
        <is>
          <t>Pionex Pro (Annual)</t>
        </is>
      </c>
      <c r="D842" s="9" t="n">
        <v>96</v>
      </c>
      <c r="E842" s="9" t="n">
        <v>1152</v>
      </c>
      <c r="F842" s="9" t="inlineStr">
        <is>
          <t>flat</t>
        </is>
      </c>
    </row>
    <row r="843">
      <c r="A843" s="9" t="n">
        <v>842</v>
      </c>
      <c r="B843" s="9" t="inlineStr">
        <is>
          <t>Bitsgap</t>
        </is>
      </c>
      <c r="C843" s="9" t="inlineStr">
        <is>
          <t>Free Trial</t>
        </is>
      </c>
      <c r="D843" s="9" t="n">
        <v>0</v>
      </c>
      <c r="E843" s="9" t="n">
        <v/>
      </c>
      <c r="F843" s="9" t="inlineStr">
        <is>
          <t>flat</t>
        </is>
      </c>
    </row>
    <row r="844">
      <c r="A844" s="9" t="n">
        <v>843</v>
      </c>
      <c r="B844" s="9" t="inlineStr">
        <is>
          <t>Bitsgap</t>
        </is>
      </c>
      <c r="C844" s="9" t="inlineStr">
        <is>
          <t>Basic</t>
        </is>
      </c>
      <c r="D844" s="9" t="n">
        <v>23</v>
      </c>
      <c r="E844" s="9" t="n">
        <v/>
      </c>
      <c r="F844" s="9" t="inlineStr">
        <is>
          <t>flat</t>
        </is>
      </c>
    </row>
    <row r="845">
      <c r="A845" s="9" t="n">
        <v>844</v>
      </c>
      <c r="B845" s="9" t="inlineStr">
        <is>
          <t>Bitsgap</t>
        </is>
      </c>
      <c r="C845" s="9" t="inlineStr">
        <is>
          <t>Advanced</t>
        </is>
      </c>
      <c r="D845" s="9" t="n">
        <v>55</v>
      </c>
      <c r="E845" s="9" t="n">
        <v/>
      </c>
      <c r="F845" s="9" t="inlineStr">
        <is>
          <t>flat</t>
        </is>
      </c>
    </row>
    <row r="846">
      <c r="A846" s="9" t="n">
        <v>845</v>
      </c>
      <c r="B846" s="9" t="inlineStr">
        <is>
          <t>Bitsgap</t>
        </is>
      </c>
      <c r="C846" s="9" t="inlineStr">
        <is>
          <t>Pro</t>
        </is>
      </c>
      <c r="D846" s="9" t="n">
        <v>119</v>
      </c>
      <c r="E846" s="9" t="n">
        <v/>
      </c>
      <c r="F846" s="9" t="inlineStr">
        <is>
          <t>flat</t>
        </is>
      </c>
    </row>
    <row r="847">
      <c r="A847" s="9" t="n">
        <v>846</v>
      </c>
      <c r="B847" s="9" t="inlineStr">
        <is>
          <t>Cornix</t>
        </is>
      </c>
      <c r="C847" s="9" t="inlineStr">
        <is>
          <t>Free Trial</t>
        </is>
      </c>
      <c r="D847" s="9" t="n">
        <v>0</v>
      </c>
      <c r="E847" s="9" t="n">
        <v/>
      </c>
      <c r="F847" s="9" t="inlineStr">
        <is>
          <t>flat</t>
        </is>
      </c>
    </row>
    <row r="848">
      <c r="A848" s="9" t="n">
        <v>847</v>
      </c>
      <c r="B848" s="9" t="inlineStr">
        <is>
          <t>Cornix</t>
        </is>
      </c>
      <c r="C848" s="9" t="inlineStr">
        <is>
          <t>Starter</t>
        </is>
      </c>
      <c r="D848" s="9" t="n">
        <v>19</v>
      </c>
      <c r="E848" s="9" t="n">
        <v/>
      </c>
      <c r="F848" s="9" t="inlineStr">
        <is>
          <t>flat</t>
        </is>
      </c>
    </row>
    <row r="849">
      <c r="A849" s="9" t="n">
        <v>848</v>
      </c>
      <c r="B849" s="9" t="inlineStr">
        <is>
          <t>Cornix</t>
        </is>
      </c>
      <c r="C849" s="9" t="inlineStr">
        <is>
          <t>Trader</t>
        </is>
      </c>
      <c r="D849" s="9" t="n">
        <v>29</v>
      </c>
      <c r="E849" s="9" t="n">
        <v/>
      </c>
      <c r="F849" s="9" t="inlineStr">
        <is>
          <t>flat</t>
        </is>
      </c>
    </row>
    <row r="850">
      <c r="A850" s="9" t="n">
        <v>849</v>
      </c>
      <c r="B850" s="9" t="inlineStr">
        <is>
          <t>Cornix</t>
        </is>
      </c>
      <c r="C850" s="9" t="inlineStr">
        <is>
          <t>Pro</t>
        </is>
      </c>
      <c r="D850" s="9" t="n">
        <v>59</v>
      </c>
      <c r="E850" s="9" t="n">
        <v/>
      </c>
      <c r="F850" s="9" t="inlineStr">
        <is>
          <t>flat</t>
        </is>
      </c>
    </row>
    <row r="851">
      <c r="A851" s="9" t="n">
        <v>850</v>
      </c>
      <c r="B851" s="9" t="inlineStr">
        <is>
          <t>TradeSanta</t>
        </is>
      </c>
      <c r="C851" s="9" t="inlineStr">
        <is>
          <t>Free</t>
        </is>
      </c>
      <c r="D851" s="9" t="n">
        <v>0</v>
      </c>
      <c r="E851" s="9" t="n">
        <v/>
      </c>
      <c r="F851" s="9" t="inlineStr">
        <is>
          <t>flat</t>
        </is>
      </c>
    </row>
    <row r="852">
      <c r="A852" s="9" t="n">
        <v>851</v>
      </c>
      <c r="B852" s="9" t="inlineStr">
        <is>
          <t>TradeSanta</t>
        </is>
      </c>
      <c r="C852" s="9" t="inlineStr">
        <is>
          <t>Basic</t>
        </is>
      </c>
      <c r="D852" s="9" t="n">
        <v>18</v>
      </c>
      <c r="E852" s="9" t="n">
        <v/>
      </c>
      <c r="F852" s="9" t="inlineStr">
        <is>
          <t>flat</t>
        </is>
      </c>
    </row>
    <row r="853">
      <c r="A853" s="9" t="n">
        <v>852</v>
      </c>
      <c r="B853" s="9" t="inlineStr">
        <is>
          <t>TradeSanta</t>
        </is>
      </c>
      <c r="C853" s="9" t="inlineStr">
        <is>
          <t>Advanced</t>
        </is>
      </c>
      <c r="D853" s="9" t="n">
        <v>32</v>
      </c>
      <c r="E853" s="9" t="n">
        <v/>
      </c>
      <c r="F853" s="9" t="inlineStr">
        <is>
          <t>flat</t>
        </is>
      </c>
    </row>
    <row r="854">
      <c r="A854" s="9" t="n">
        <v>853</v>
      </c>
      <c r="B854" s="9" t="inlineStr">
        <is>
          <t>TradeSanta</t>
        </is>
      </c>
      <c r="C854" s="9" t="inlineStr">
        <is>
          <t>Maximum</t>
        </is>
      </c>
      <c r="D854" s="9" t="n">
        <v>45</v>
      </c>
      <c r="E854" s="9" t="n">
        <v/>
      </c>
      <c r="F854" s="9" t="inlineStr">
        <is>
          <t>flat</t>
        </is>
      </c>
    </row>
    <row r="855">
      <c r="A855" s="9" t="n">
        <v>854</v>
      </c>
      <c r="B855" s="9" t="inlineStr">
        <is>
          <t>WunderTrading</t>
        </is>
      </c>
      <c r="C855" s="9" t="inlineStr">
        <is>
          <t>Free</t>
        </is>
      </c>
      <c r="D855" s="9" t="n">
        <v>0</v>
      </c>
      <c r="E855" s="9" t="n">
        <v/>
      </c>
      <c r="F855" s="9" t="inlineStr">
        <is>
          <t>flat</t>
        </is>
      </c>
    </row>
    <row r="856">
      <c r="A856" s="9" t="n">
        <v>855</v>
      </c>
      <c r="B856" s="9" t="inlineStr">
        <is>
          <t>WunderTrading</t>
        </is>
      </c>
      <c r="C856" s="9" t="inlineStr">
        <is>
          <t>Basic</t>
        </is>
      </c>
      <c r="D856" s="9" t="n">
        <v>19</v>
      </c>
      <c r="E856" s="9" t="n">
        <v/>
      </c>
      <c r="F856" s="9" t="inlineStr">
        <is>
          <t>flat</t>
        </is>
      </c>
    </row>
    <row r="857">
      <c r="A857" s="9" t="n">
        <v>856</v>
      </c>
      <c r="B857" s="9" t="inlineStr">
        <is>
          <t>WunderTrading</t>
        </is>
      </c>
      <c r="C857" s="9" t="inlineStr">
        <is>
          <t>Pro</t>
        </is>
      </c>
      <c r="D857" s="9" t="n">
        <v>39</v>
      </c>
      <c r="E857" s="9" t="n">
        <v/>
      </c>
      <c r="F857" s="9" t="inlineStr">
        <is>
          <t>flat</t>
        </is>
      </c>
    </row>
    <row r="858">
      <c r="A858" s="9" t="n">
        <v>857</v>
      </c>
      <c r="B858" s="9" t="inlineStr">
        <is>
          <t>WunderTrading</t>
        </is>
      </c>
      <c r="C858" s="9" t="inlineStr">
        <is>
          <t>Premium</t>
        </is>
      </c>
      <c r="D858" s="9" t="n">
        <v>69</v>
      </c>
      <c r="E858" s="9" t="n">
        <v/>
      </c>
      <c r="F858" s="9" t="inlineStr">
        <is>
          <t>flat</t>
        </is>
      </c>
    </row>
    <row r="859">
      <c r="A859" s="9" t="n">
        <v>858</v>
      </c>
      <c r="B859" s="9" t="inlineStr">
        <is>
          <t>Altrady</t>
        </is>
      </c>
      <c r="C859" s="9" t="inlineStr">
        <is>
          <t>Free Trial</t>
        </is>
      </c>
      <c r="D859" s="9" t="n">
        <v>0</v>
      </c>
      <c r="E859" s="9" t="n">
        <v/>
      </c>
      <c r="F859" s="9" t="inlineStr">
        <is>
          <t>flat</t>
        </is>
      </c>
    </row>
    <row r="860">
      <c r="A860" s="9" t="n">
        <v>859</v>
      </c>
      <c r="B860" s="9" t="inlineStr">
        <is>
          <t>Altrady</t>
        </is>
      </c>
      <c r="C860" s="9" t="inlineStr">
        <is>
          <t>Basic</t>
        </is>
      </c>
      <c r="D860" s="9" t="n">
        <v>19</v>
      </c>
      <c r="E860" s="9" t="n">
        <v/>
      </c>
      <c r="F860" s="9" t="inlineStr">
        <is>
          <t>flat</t>
        </is>
      </c>
    </row>
    <row r="861">
      <c r="A861" s="9" t="n">
        <v>860</v>
      </c>
      <c r="B861" s="9" t="inlineStr">
        <is>
          <t>Altrady</t>
        </is>
      </c>
      <c r="C861" s="9" t="inlineStr">
        <is>
          <t>Essential</t>
        </is>
      </c>
      <c r="D861" s="9" t="n">
        <v>35</v>
      </c>
      <c r="E861" s="9" t="n">
        <v/>
      </c>
      <c r="F861" s="9" t="inlineStr">
        <is>
          <t>flat</t>
        </is>
      </c>
    </row>
    <row r="862">
      <c r="A862" s="9" t="n">
        <v>861</v>
      </c>
      <c r="B862" s="9" t="inlineStr">
        <is>
          <t>Altrady</t>
        </is>
      </c>
      <c r="C862" s="9" t="inlineStr">
        <is>
          <t>Premium</t>
        </is>
      </c>
      <c r="D862" s="9" t="n">
        <v>55</v>
      </c>
      <c r="E862" s="9" t="n">
        <v/>
      </c>
      <c r="F862" s="9" t="inlineStr">
        <is>
          <t>flat</t>
        </is>
      </c>
    </row>
    <row r="863">
      <c r="A863" s="9" t="n">
        <v>862</v>
      </c>
      <c r="B863" s="9" t="inlineStr">
        <is>
          <t>CoinGlass</t>
        </is>
      </c>
      <c r="C863" s="9" t="inlineStr">
        <is>
          <t>Free</t>
        </is>
      </c>
      <c r="D863" s="9" t="n">
        <v>0</v>
      </c>
      <c r="E863" s="9" t="n">
        <v/>
      </c>
      <c r="F863" s="9" t="inlineStr">
        <is>
          <t>flat</t>
        </is>
      </c>
    </row>
    <row r="864">
      <c r="A864" s="9" t="n">
        <v>863</v>
      </c>
      <c r="B864" s="9" t="inlineStr">
        <is>
          <t>CoinGlass</t>
        </is>
      </c>
      <c r="C864" s="9" t="inlineStr">
        <is>
          <t>Pro</t>
        </is>
      </c>
      <c r="D864" s="9" t="n">
        <v>29</v>
      </c>
      <c r="E864" s="9" t="n">
        <v/>
      </c>
      <c r="F864" s="9" t="inlineStr">
        <is>
          <t>flat</t>
        </is>
      </c>
    </row>
    <row r="865">
      <c r="A865" s="9" t="n">
        <v>864</v>
      </c>
      <c r="B865" s="9" t="inlineStr">
        <is>
          <t>CoinGlass</t>
        </is>
      </c>
      <c r="C865" s="9" t="inlineStr">
        <is>
          <t>Pro+</t>
        </is>
      </c>
      <c r="D865" s="9" t="n">
        <v>79</v>
      </c>
      <c r="E865" s="9" t="n">
        <v/>
      </c>
      <c r="F865" s="9" t="inlineStr">
        <is>
          <t>flat</t>
        </is>
      </c>
    </row>
    <row r="866">
      <c r="A866" s="9" t="n">
        <v>865</v>
      </c>
      <c r="B866" s="9" t="inlineStr">
        <is>
          <t>Glassnode</t>
        </is>
      </c>
      <c r="C866" s="9" t="inlineStr">
        <is>
          <t>Free</t>
        </is>
      </c>
      <c r="D866" s="9" t="n">
        <v>0</v>
      </c>
      <c r="E866" s="9" t="n">
        <v/>
      </c>
      <c r="F866" s="9" t="inlineStr">
        <is>
          <t>flat</t>
        </is>
      </c>
    </row>
    <row r="867">
      <c r="A867" s="9" t="n">
        <v>866</v>
      </c>
      <c r="B867" s="9" t="inlineStr">
        <is>
          <t>Glassnode</t>
        </is>
      </c>
      <c r="C867" s="9" t="inlineStr">
        <is>
          <t>Advanced</t>
        </is>
      </c>
      <c r="D867" s="9" t="n">
        <v>49</v>
      </c>
      <c r="E867" s="9" t="n">
        <v/>
      </c>
      <c r="F867" s="9" t="inlineStr">
        <is>
          <t>flat</t>
        </is>
      </c>
    </row>
    <row r="868">
      <c r="A868" s="9" t="n">
        <v>867</v>
      </c>
      <c r="B868" s="9" t="inlineStr">
        <is>
          <t>Glassnode</t>
        </is>
      </c>
      <c r="C868" s="9" t="inlineStr">
        <is>
          <t>Professional</t>
        </is>
      </c>
      <c r="D868" s="9" t="n">
        <v>999</v>
      </c>
      <c r="E868" s="9" t="n">
        <v/>
      </c>
      <c r="F868" s="9" t="inlineStr">
        <is>
          <t>flat</t>
        </is>
      </c>
    </row>
    <row r="869">
      <c r="A869" s="9" t="n">
        <v>868</v>
      </c>
      <c r="B869" s="9" t="inlineStr">
        <is>
          <t>Nansen</t>
        </is>
      </c>
      <c r="C869" s="9" t="inlineStr">
        <is>
          <t>Pioneer</t>
        </is>
      </c>
      <c r="D869" s="9" t="n">
        <v>150</v>
      </c>
      <c r="E869" s="9" t="n">
        <v/>
      </c>
      <c r="F869" s="9" t="inlineStr">
        <is>
          <t>flat</t>
        </is>
      </c>
    </row>
    <row r="870">
      <c r="A870" s="9" t="n">
        <v>869</v>
      </c>
      <c r="B870" s="9" t="inlineStr">
        <is>
          <t>Nansen</t>
        </is>
      </c>
      <c r="C870" s="9" t="inlineStr">
        <is>
          <t>Explorer</t>
        </is>
      </c>
      <c r="D870" s="9" t="n">
        <v>500</v>
      </c>
      <c r="E870" s="9" t="n">
        <v/>
      </c>
      <c r="F870" s="9" t="inlineStr">
        <is>
          <t>flat</t>
        </is>
      </c>
    </row>
    <row r="871">
      <c r="A871" s="9" t="n">
        <v>870</v>
      </c>
      <c r="B871" s="9" t="inlineStr">
        <is>
          <t>Nansen</t>
        </is>
      </c>
      <c r="C871" s="9" t="inlineStr">
        <is>
          <t>Enterprise</t>
        </is>
      </c>
      <c r="D871" s="9" t="n">
        <v/>
      </c>
      <c r="E871" s="9" t="n">
        <v/>
      </c>
      <c r="F871" s="9" t="inlineStr">
        <is>
          <t>flat</t>
        </is>
      </c>
    </row>
    <row r="872">
      <c r="A872" s="9" t="n">
        <v>871</v>
      </c>
      <c r="B872" s="9" t="inlineStr">
        <is>
          <t>Santiment</t>
        </is>
      </c>
      <c r="C872" s="9" t="inlineStr">
        <is>
          <t>Free</t>
        </is>
      </c>
      <c r="D872" s="9" t="n">
        <v>0</v>
      </c>
      <c r="E872" s="9" t="n">
        <v/>
      </c>
      <c r="F872" s="9" t="inlineStr">
        <is>
          <t>flat</t>
        </is>
      </c>
    </row>
    <row r="873">
      <c r="A873" s="9" t="n">
        <v>872</v>
      </c>
      <c r="B873" s="9" t="inlineStr">
        <is>
          <t>Santiment</t>
        </is>
      </c>
      <c r="C873" s="9" t="inlineStr">
        <is>
          <t>Pro</t>
        </is>
      </c>
      <c r="D873" s="9" t="n">
        <v>49</v>
      </c>
      <c r="E873" s="9" t="n">
        <v/>
      </c>
      <c r="F873" s="9" t="inlineStr">
        <is>
          <t>flat</t>
        </is>
      </c>
    </row>
    <row r="874">
      <c r="A874" s="9" t="n">
        <v>873</v>
      </c>
      <c r="B874" s="9" t="inlineStr">
        <is>
          <t>Santiment</t>
        </is>
      </c>
      <c r="C874" s="9" t="inlineStr">
        <is>
          <t>Pro+</t>
        </is>
      </c>
      <c r="D874" s="9" t="n">
        <v>249</v>
      </c>
      <c r="E874" s="9" t="n">
        <v/>
      </c>
      <c r="F874" s="9" t="inlineStr">
        <is>
          <t>flat</t>
        </is>
      </c>
    </row>
    <row r="875">
      <c r="A875" s="9" t="n">
        <v>874</v>
      </c>
      <c r="B875" s="9" t="inlineStr">
        <is>
          <t>Santiment</t>
        </is>
      </c>
      <c r="C875" s="9" t="inlineStr">
        <is>
          <t>Enterprise</t>
        </is>
      </c>
      <c r="D875" s="9" t="n">
        <v/>
      </c>
      <c r="E875" s="9" t="n">
        <v/>
      </c>
      <c r="F875" s="9" t="inlineStr">
        <is>
          <t>flat</t>
        </is>
      </c>
    </row>
    <row r="876">
      <c r="A876" s="9" t="n">
        <v>875</v>
      </c>
      <c r="B876" s="9" t="inlineStr">
        <is>
          <t>Messari</t>
        </is>
      </c>
      <c r="C876" s="9" t="inlineStr">
        <is>
          <t>Free</t>
        </is>
      </c>
      <c r="D876" s="9" t="n">
        <v>0</v>
      </c>
      <c r="E876" s="9" t="n">
        <v/>
      </c>
      <c r="F876" s="9" t="inlineStr">
        <is>
          <t>flat</t>
        </is>
      </c>
    </row>
    <row r="877">
      <c r="A877" s="9" t="n">
        <v>876</v>
      </c>
      <c r="B877" s="9" t="inlineStr">
        <is>
          <t>Messari</t>
        </is>
      </c>
      <c r="C877" s="9" t="inlineStr">
        <is>
          <t>Enterprise</t>
        </is>
      </c>
      <c r="D877" s="9" t="n">
        <v/>
      </c>
      <c r="E877" s="9" t="n">
        <v/>
      </c>
      <c r="F877" s="9" t="inlineStr">
        <is>
          <t>flat</t>
        </is>
      </c>
    </row>
    <row r="878">
      <c r="A878" s="9" t="n">
        <v>877</v>
      </c>
      <c r="B878" s="9" t="inlineStr">
        <is>
          <t>Dune Analytics</t>
        </is>
      </c>
      <c r="C878" s="9" t="inlineStr">
        <is>
          <t>Free</t>
        </is>
      </c>
      <c r="D878" s="9" t="n">
        <v>0</v>
      </c>
      <c r="E878" s="9" t="n">
        <v/>
      </c>
      <c r="F878" s="9" t="inlineStr">
        <is>
          <t>flat</t>
        </is>
      </c>
    </row>
    <row r="879">
      <c r="A879" s="9" t="n">
        <v>878</v>
      </c>
      <c r="B879" s="9" t="inlineStr">
        <is>
          <t>Dune Analytics</t>
        </is>
      </c>
      <c r="C879" s="9" t="inlineStr">
        <is>
          <t>Plus</t>
        </is>
      </c>
      <c r="D879" s="9" t="n">
        <v>349</v>
      </c>
      <c r="E879" s="9" t="n">
        <v/>
      </c>
      <c r="F879" s="9" t="inlineStr">
        <is>
          <t>flat</t>
        </is>
      </c>
    </row>
    <row r="880">
      <c r="A880" s="9" t="n">
        <v>879</v>
      </c>
      <c r="B880" s="9" t="inlineStr">
        <is>
          <t>Dune Analytics</t>
        </is>
      </c>
      <c r="C880" s="9" t="inlineStr">
        <is>
          <t>Premium</t>
        </is>
      </c>
      <c r="D880" s="9" t="n">
        <v>399</v>
      </c>
      <c r="E880" s="9" t="n">
        <v/>
      </c>
      <c r="F880" s="9" t="inlineStr">
        <is>
          <t>flat</t>
        </is>
      </c>
    </row>
    <row r="881">
      <c r="A881" s="9" t="n">
        <v>880</v>
      </c>
      <c r="B881" s="9" t="inlineStr">
        <is>
          <t>Dune Analytics</t>
        </is>
      </c>
      <c r="C881" s="9" t="inlineStr">
        <is>
          <t>Enterprise</t>
        </is>
      </c>
      <c r="D881" s="9" t="n">
        <v/>
      </c>
      <c r="E881" s="9" t="n">
        <v/>
      </c>
      <c r="F881" s="9" t="inlineStr">
        <is>
          <t>flat</t>
        </is>
      </c>
    </row>
    <row r="882">
      <c r="A882" s="9" t="n">
        <v>881</v>
      </c>
      <c r="B882" s="9" t="inlineStr">
        <is>
          <t>Token Terminal</t>
        </is>
      </c>
      <c r="C882" s="9" t="inlineStr">
        <is>
          <t>Free</t>
        </is>
      </c>
      <c r="D882" s="9" t="n">
        <v>0</v>
      </c>
      <c r="E882" s="9" t="n">
        <v/>
      </c>
      <c r="F882" s="9" t="inlineStr">
        <is>
          <t>flat</t>
        </is>
      </c>
    </row>
    <row r="883">
      <c r="A883" s="9" t="n">
        <v>882</v>
      </c>
      <c r="B883" s="9" t="inlineStr">
        <is>
          <t>Token Terminal</t>
        </is>
      </c>
      <c r="C883" s="9" t="inlineStr">
        <is>
          <t>Professional</t>
        </is>
      </c>
      <c r="D883" s="9" t="n">
        <v>350</v>
      </c>
      <c r="E883" s="9" t="n">
        <v/>
      </c>
      <c r="F883" s="9" t="inlineStr">
        <is>
          <t>flat</t>
        </is>
      </c>
    </row>
    <row r="884">
      <c r="A884" s="9" t="n">
        <v>883</v>
      </c>
      <c r="B884" s="9" t="inlineStr">
        <is>
          <t>Token Terminal</t>
        </is>
      </c>
      <c r="C884" s="9" t="inlineStr">
        <is>
          <t>Enterprise</t>
        </is>
      </c>
      <c r="D884" s="9" t="n">
        <v/>
      </c>
      <c r="E884" s="9" t="n">
        <v/>
      </c>
      <c r="F884" s="9" t="inlineStr">
        <is>
          <t>flat</t>
        </is>
      </c>
    </row>
    <row r="885">
      <c r="A885" s="9" t="n">
        <v>884</v>
      </c>
      <c r="B885" s="9" t="inlineStr">
        <is>
          <t>IntoTheBlock</t>
        </is>
      </c>
      <c r="C885" s="9" t="inlineStr">
        <is>
          <t>Free</t>
        </is>
      </c>
      <c r="D885" s="9" t="n">
        <v>0</v>
      </c>
      <c r="E885" s="9" t="n">
        <v/>
      </c>
      <c r="F885" s="9" t="inlineStr">
        <is>
          <t>flat</t>
        </is>
      </c>
    </row>
    <row r="886">
      <c r="A886" s="9" t="n">
        <v>885</v>
      </c>
      <c r="B886" s="9" t="inlineStr">
        <is>
          <t>IntoTheBlock</t>
        </is>
      </c>
      <c r="C886" s="9" t="inlineStr">
        <is>
          <t>Pro</t>
        </is>
      </c>
      <c r="D886" s="9" t="n">
        <v>100</v>
      </c>
      <c r="E886" s="9" t="n">
        <v/>
      </c>
      <c r="F886" s="9" t="inlineStr">
        <is>
          <t>flat</t>
        </is>
      </c>
    </row>
    <row r="887">
      <c r="A887" s="9" t="n">
        <v>886</v>
      </c>
      <c r="B887" s="9" t="inlineStr">
        <is>
          <t>IntoTheBlock</t>
        </is>
      </c>
      <c r="C887" s="9" t="inlineStr">
        <is>
          <t>Enterprise</t>
        </is>
      </c>
      <c r="D887" s="9" t="n">
        <v/>
      </c>
      <c r="E887" s="9" t="n">
        <v/>
      </c>
      <c r="F887" s="9" t="inlineStr">
        <is>
          <t>flat</t>
        </is>
      </c>
    </row>
    <row r="888">
      <c r="A888" s="9" t="n">
        <v>887</v>
      </c>
      <c r="B888" s="9" t="inlineStr">
        <is>
          <t>Koinly</t>
        </is>
      </c>
      <c r="C888" s="9" t="inlineStr">
        <is>
          <t>Free</t>
        </is>
      </c>
      <c r="D888" s="9" t="n">
        <v>0</v>
      </c>
      <c r="E888" s="9" t="n">
        <v>0</v>
      </c>
      <c r="F888" s="9" t="inlineStr">
        <is>
          <t>flat</t>
        </is>
      </c>
    </row>
    <row r="889">
      <c r="A889" s="9" t="n">
        <v>888</v>
      </c>
      <c r="B889" s="9" t="inlineStr">
        <is>
          <t>Koinly</t>
        </is>
      </c>
      <c r="C889" s="9" t="inlineStr">
        <is>
          <t>Newbie</t>
        </is>
      </c>
      <c r="D889" s="9" t="n">
        <v>49</v>
      </c>
      <c r="E889" s="9" t="n">
        <v>588</v>
      </c>
      <c r="F889" s="9" t="inlineStr">
        <is>
          <t>flat</t>
        </is>
      </c>
    </row>
    <row r="890">
      <c r="A890" s="9" t="n">
        <v>889</v>
      </c>
      <c r="B890" s="9" t="inlineStr">
        <is>
          <t>Koinly</t>
        </is>
      </c>
      <c r="C890" s="9" t="inlineStr">
        <is>
          <t>Hodler</t>
        </is>
      </c>
      <c r="D890" s="9" t="n">
        <v>99</v>
      </c>
      <c r="E890" s="9" t="n">
        <v>1188</v>
      </c>
      <c r="F890" s="9" t="inlineStr">
        <is>
          <t>flat</t>
        </is>
      </c>
    </row>
    <row r="891">
      <c r="A891" s="9" t="n">
        <v>890</v>
      </c>
      <c r="B891" s="9" t="inlineStr">
        <is>
          <t>Koinly</t>
        </is>
      </c>
      <c r="C891" s="9" t="inlineStr">
        <is>
          <t>Trader</t>
        </is>
      </c>
      <c r="D891" s="9" t="n">
        <v>199</v>
      </c>
      <c r="E891" s="9" t="n">
        <v>2388</v>
      </c>
      <c r="F891" s="9" t="inlineStr">
        <is>
          <t>flat</t>
        </is>
      </c>
    </row>
    <row r="892">
      <c r="A892" s="9" t="n">
        <v>891</v>
      </c>
      <c r="B892" s="9" t="inlineStr">
        <is>
          <t>CoinTracker</t>
        </is>
      </c>
      <c r="C892" s="9" t="inlineStr">
        <is>
          <t>Free</t>
        </is>
      </c>
      <c r="D892" s="9" t="n">
        <v>0</v>
      </c>
      <c r="E892" s="9" t="n">
        <v>0</v>
      </c>
      <c r="F892" s="9" t="inlineStr">
        <is>
          <t>flat</t>
        </is>
      </c>
    </row>
    <row r="893">
      <c r="A893" s="9" t="n">
        <v>892</v>
      </c>
      <c r="B893" s="9" t="inlineStr">
        <is>
          <t>CoinTracker</t>
        </is>
      </c>
      <c r="C893" s="9" t="inlineStr">
        <is>
          <t>Base</t>
        </is>
      </c>
      <c r="D893" s="9" t="n">
        <v>59</v>
      </c>
      <c r="E893" s="9" t="n">
        <v>708</v>
      </c>
      <c r="F893" s="9" t="inlineStr">
        <is>
          <t>flat</t>
        </is>
      </c>
    </row>
    <row r="894">
      <c r="A894" s="9" t="n">
        <v>893</v>
      </c>
      <c r="B894" s="9" t="inlineStr">
        <is>
          <t>CoinTracker</t>
        </is>
      </c>
      <c r="C894" s="9" t="inlineStr">
        <is>
          <t>Prime</t>
        </is>
      </c>
      <c r="D894" s="9" t="n">
        <v>199</v>
      </c>
      <c r="E894" s="9" t="n">
        <v>2388</v>
      </c>
      <c r="F894" s="9" t="inlineStr">
        <is>
          <t>flat</t>
        </is>
      </c>
    </row>
    <row r="895">
      <c r="A895" s="9" t="n">
        <v>894</v>
      </c>
      <c r="B895" s="9" t="inlineStr">
        <is>
          <t>CoinTracker</t>
        </is>
      </c>
      <c r="C895" s="9" t="inlineStr">
        <is>
          <t>Ultra</t>
        </is>
      </c>
      <c r="D895" s="9" t="n">
        <v>599</v>
      </c>
      <c r="E895" s="9" t="n">
        <v>7188</v>
      </c>
      <c r="F895" s="9" t="inlineStr">
        <is>
          <t>flat</t>
        </is>
      </c>
    </row>
    <row r="896">
      <c r="A896" s="9" t="n">
        <v>895</v>
      </c>
      <c r="B896" s="9" t="inlineStr">
        <is>
          <t>TokenTax</t>
        </is>
      </c>
      <c r="C896" s="9" t="inlineStr">
        <is>
          <t>Basic</t>
        </is>
      </c>
      <c r="D896" s="9" t="n">
        <v>49</v>
      </c>
      <c r="E896" s="9" t="n">
        <v>588</v>
      </c>
      <c r="F896" s="9" t="inlineStr">
        <is>
          <t>flat</t>
        </is>
      </c>
    </row>
    <row r="897">
      <c r="A897" s="9" t="n">
        <v>896</v>
      </c>
      <c r="B897" s="9" t="inlineStr">
        <is>
          <t>TokenTax</t>
        </is>
      </c>
      <c r="C897" s="9" t="inlineStr">
        <is>
          <t>Premium</t>
        </is>
      </c>
      <c r="D897" s="9" t="n">
        <v>199</v>
      </c>
      <c r="E897" s="9" t="n">
        <v>2388</v>
      </c>
      <c r="F897" s="9" t="inlineStr">
        <is>
          <t>flat</t>
        </is>
      </c>
    </row>
    <row r="898">
      <c r="A898" s="9" t="n">
        <v>897</v>
      </c>
      <c r="B898" s="9" t="inlineStr">
        <is>
          <t>TokenTax</t>
        </is>
      </c>
      <c r="C898" s="9" t="inlineStr">
        <is>
          <t>VIP</t>
        </is>
      </c>
      <c r="D898" s="9" t="n">
        <v>3499</v>
      </c>
      <c r="E898" s="9" t="n">
        <v>41988</v>
      </c>
      <c r="F898" s="9" t="inlineStr">
        <is>
          <t>flat</t>
        </is>
      </c>
    </row>
    <row r="899">
      <c r="A899" s="9" t="n">
        <v>898</v>
      </c>
      <c r="B899" s="9" t="inlineStr">
        <is>
          <t>ZenLedger</t>
        </is>
      </c>
      <c r="C899" s="9" t="inlineStr">
        <is>
          <t>Free</t>
        </is>
      </c>
      <c r="D899" s="9" t="n">
        <v>0</v>
      </c>
      <c r="E899" s="9" t="n">
        <v>0</v>
      </c>
      <c r="F899" s="9" t="inlineStr">
        <is>
          <t>flat</t>
        </is>
      </c>
    </row>
    <row r="900">
      <c r="A900" s="9" t="n">
        <v>899</v>
      </c>
      <c r="B900" s="9" t="inlineStr">
        <is>
          <t>ZenLedger</t>
        </is>
      </c>
      <c r="C900" s="9" t="inlineStr">
        <is>
          <t>Starter</t>
        </is>
      </c>
      <c r="D900" s="9" t="n">
        <v>49</v>
      </c>
      <c r="E900" s="9" t="n">
        <v>588</v>
      </c>
      <c r="F900" s="9" t="inlineStr">
        <is>
          <t>flat</t>
        </is>
      </c>
    </row>
    <row r="901">
      <c r="A901" s="9" t="n">
        <v>900</v>
      </c>
      <c r="B901" s="9" t="inlineStr">
        <is>
          <t>ZenLedger</t>
        </is>
      </c>
      <c r="C901" s="9" t="inlineStr">
        <is>
          <t>Premium</t>
        </is>
      </c>
      <c r="D901" s="9" t="n">
        <v>149</v>
      </c>
      <c r="E901" s="9" t="n">
        <v>1788</v>
      </c>
      <c r="F901" s="9" t="inlineStr">
        <is>
          <t>flat</t>
        </is>
      </c>
    </row>
    <row r="902">
      <c r="A902" s="9" t="n">
        <v>901</v>
      </c>
      <c r="B902" s="9" t="inlineStr">
        <is>
          <t>ZenLedger</t>
        </is>
      </c>
      <c r="C902" s="9" t="inlineStr">
        <is>
          <t>Executive</t>
        </is>
      </c>
      <c r="D902" s="9" t="n">
        <v>399</v>
      </c>
      <c r="E902" s="9" t="n">
        <v>4788</v>
      </c>
      <c r="F902" s="9" t="inlineStr">
        <is>
          <t>flat</t>
        </is>
      </c>
    </row>
    <row r="903">
      <c r="A903" s="9" t="n">
        <v>902</v>
      </c>
      <c r="B903" s="9" t="inlineStr">
        <is>
          <t>CoinLedger</t>
        </is>
      </c>
      <c r="C903" s="9" t="inlineStr">
        <is>
          <t>Free</t>
        </is>
      </c>
      <c r="D903" s="9" t="n">
        <v>0</v>
      </c>
      <c r="E903" s="9" t="n">
        <v>0</v>
      </c>
      <c r="F903" s="9" t="inlineStr">
        <is>
          <t>flat</t>
        </is>
      </c>
    </row>
    <row r="904">
      <c r="A904" s="9" t="n">
        <v>903</v>
      </c>
      <c r="B904" s="9" t="inlineStr">
        <is>
          <t>CoinLedger</t>
        </is>
      </c>
      <c r="C904" s="9" t="inlineStr">
        <is>
          <t>Hobbyist</t>
        </is>
      </c>
      <c r="D904" s="9" t="n">
        <v>49</v>
      </c>
      <c r="E904" s="9" t="n">
        <v>588</v>
      </c>
      <c r="F904" s="9" t="inlineStr">
        <is>
          <t>flat</t>
        </is>
      </c>
    </row>
    <row r="905">
      <c r="A905" s="9" t="n">
        <v>904</v>
      </c>
      <c r="B905" s="9" t="inlineStr">
        <is>
          <t>CoinLedger</t>
        </is>
      </c>
      <c r="C905" s="9" t="inlineStr">
        <is>
          <t>Day Trader</t>
        </is>
      </c>
      <c r="D905" s="9" t="n">
        <v>99</v>
      </c>
      <c r="E905" s="9" t="n">
        <v>1188</v>
      </c>
      <c r="F905" s="9" t="inlineStr">
        <is>
          <t>flat</t>
        </is>
      </c>
    </row>
    <row r="906">
      <c r="A906" s="9" t="n">
        <v>905</v>
      </c>
      <c r="B906" s="9" t="inlineStr">
        <is>
          <t>CoinLedger</t>
        </is>
      </c>
      <c r="C906" s="9" t="inlineStr">
        <is>
          <t>Unlimited</t>
        </is>
      </c>
      <c r="D906" s="9" t="n">
        <v>199</v>
      </c>
      <c r="E906" s="9" t="n">
        <v>2388</v>
      </c>
      <c r="F906" s="9" t="inlineStr">
        <is>
          <t>flat</t>
        </is>
      </c>
    </row>
    <row r="907">
      <c r="A907" s="9" t="n">
        <v>906</v>
      </c>
      <c r="B907" s="9" t="inlineStr">
        <is>
          <t>Accointing (Blockpit)</t>
        </is>
      </c>
      <c r="C907" s="9" t="inlineStr">
        <is>
          <t>Free</t>
        </is>
      </c>
      <c r="D907" s="9" t="n">
        <v>0</v>
      </c>
      <c r="E907" s="9" t="n">
        <v>0</v>
      </c>
      <c r="F907" s="9" t="inlineStr">
        <is>
          <t>flat</t>
        </is>
      </c>
    </row>
    <row r="908">
      <c r="A908" s="9" t="n">
        <v>907</v>
      </c>
      <c r="B908" s="9" t="inlineStr">
        <is>
          <t>Accointing (Blockpit)</t>
        </is>
      </c>
      <c r="C908" s="9" t="inlineStr">
        <is>
          <t>Starter</t>
        </is>
      </c>
      <c r="D908" s="9" t="n">
        <v>49</v>
      </c>
      <c r="E908" s="9" t="n">
        <v>588</v>
      </c>
      <c r="F908" s="9" t="inlineStr">
        <is>
          <t>flat</t>
        </is>
      </c>
    </row>
    <row r="909">
      <c r="A909" s="9" t="n">
        <v>908</v>
      </c>
      <c r="B909" s="9" t="inlineStr">
        <is>
          <t>Accointing (Blockpit)</t>
        </is>
      </c>
      <c r="C909" s="9" t="inlineStr">
        <is>
          <t>Advanced</t>
        </is>
      </c>
      <c r="D909" s="9" t="n">
        <v>99</v>
      </c>
      <c r="E909" s="9" t="n">
        <v>1188</v>
      </c>
      <c r="F909" s="9" t="inlineStr">
        <is>
          <t>flat</t>
        </is>
      </c>
    </row>
    <row r="910">
      <c r="A910" s="9" t="n">
        <v>909</v>
      </c>
      <c r="B910" s="9" t="inlineStr">
        <is>
          <t>Accointing (Blockpit)</t>
        </is>
      </c>
      <c r="C910" s="9" t="inlineStr">
        <is>
          <t>Unlimited</t>
        </is>
      </c>
      <c r="D910" s="9" t="n">
        <v>199</v>
      </c>
      <c r="E910" s="9" t="n">
        <v>2388</v>
      </c>
      <c r="F910" s="9" t="inlineStr">
        <is>
          <t>flat</t>
        </is>
      </c>
    </row>
    <row r="911">
      <c r="A911" s="9" t="n">
        <v>910</v>
      </c>
      <c r="B911" s="9" t="inlineStr">
        <is>
          <t>CoinStats</t>
        </is>
      </c>
      <c r="C911" s="9" t="inlineStr">
        <is>
          <t>Free</t>
        </is>
      </c>
      <c r="D911" s="9" t="n">
        <v>0</v>
      </c>
      <c r="E911" s="9" t="n">
        <v/>
      </c>
      <c r="F911" s="9" t="inlineStr">
        <is>
          <t>flat</t>
        </is>
      </c>
    </row>
    <row r="912">
      <c r="A912" s="9" t="n">
        <v>911</v>
      </c>
      <c r="B912" s="9" t="inlineStr">
        <is>
          <t>CoinStats</t>
        </is>
      </c>
      <c r="C912" s="9" t="inlineStr">
        <is>
          <t>Pro</t>
        </is>
      </c>
      <c r="D912" s="9" t="n">
        <v>13.99</v>
      </c>
      <c r="E912" s="9" t="n">
        <v/>
      </c>
      <c r="F912" s="9" t="inlineStr">
        <is>
          <t>flat</t>
        </is>
      </c>
    </row>
    <row r="913">
      <c r="A913" s="9" t="n">
        <v>912</v>
      </c>
      <c r="B913" s="9" t="inlineStr">
        <is>
          <t>Delta</t>
        </is>
      </c>
      <c r="C913" s="9" t="inlineStr">
        <is>
          <t>Free</t>
        </is>
      </c>
      <c r="D913" s="9" t="n">
        <v>0</v>
      </c>
      <c r="E913" s="9" t="n">
        <v/>
      </c>
      <c r="F913" s="9" t="inlineStr">
        <is>
          <t>flat</t>
        </is>
      </c>
    </row>
    <row r="914">
      <c r="A914" s="9" t="n">
        <v>913</v>
      </c>
      <c r="B914" s="9" t="inlineStr">
        <is>
          <t>Delta</t>
        </is>
      </c>
      <c r="C914" s="9" t="inlineStr">
        <is>
          <t>Pro</t>
        </is>
      </c>
      <c r="D914" s="9" t="n">
        <v>8.99</v>
      </c>
      <c r="E914" s="9" t="n">
        <v/>
      </c>
      <c r="F914" s="9" t="inlineStr">
        <is>
          <t>flat</t>
        </is>
      </c>
    </row>
    <row r="915">
      <c r="A915" s="9" t="n">
        <v>914</v>
      </c>
      <c r="B915" s="9" t="inlineStr">
        <is>
          <t>Zerion</t>
        </is>
      </c>
      <c r="C915" s="9" t="inlineStr">
        <is>
          <t>Free</t>
        </is>
      </c>
      <c r="D915" s="9" t="n">
        <v>0</v>
      </c>
      <c r="E915" s="9" t="n">
        <v/>
      </c>
      <c r="F915" s="9" t="inlineStr">
        <is>
          <t>flat</t>
        </is>
      </c>
    </row>
    <row r="916">
      <c r="A916" s="9" t="n">
        <v>915</v>
      </c>
      <c r="B916" s="9" t="inlineStr">
        <is>
          <t>Zerion</t>
        </is>
      </c>
      <c r="C916" s="9" t="inlineStr">
        <is>
          <t>Premium</t>
        </is>
      </c>
      <c r="D916" s="9" t="n">
        <v>14.99</v>
      </c>
      <c r="E916" s="9" t="n">
        <v/>
      </c>
      <c r="F916" s="9" t="inlineStr">
        <is>
          <t>flat</t>
        </is>
      </c>
    </row>
    <row r="917">
      <c r="A917" s="9" t="n">
        <v>916</v>
      </c>
      <c r="B917" s="9" t="inlineStr">
        <is>
          <t>DeBank</t>
        </is>
      </c>
      <c r="C917" s="9" t="inlineStr">
        <is>
          <t>Free</t>
        </is>
      </c>
      <c r="D917" s="9" t="n">
        <v>0</v>
      </c>
      <c r="E917" s="9" t="n">
        <v/>
      </c>
      <c r="F917" s="9" t="inlineStr">
        <is>
          <t>flat</t>
        </is>
      </c>
    </row>
    <row r="918">
      <c r="A918" s="9" t="n">
        <v>917</v>
      </c>
      <c r="B918" s="9" t="inlineStr">
        <is>
          <t>DeBank</t>
        </is>
      </c>
      <c r="C918" s="9" t="inlineStr">
        <is>
          <t>Web3 ID</t>
        </is>
      </c>
      <c r="D918" s="9" t="n">
        <v>96</v>
      </c>
      <c r="E918" s="9" t="n">
        <v/>
      </c>
      <c r="F918" s="9" t="inlineStr">
        <is>
          <t>flat</t>
        </is>
      </c>
    </row>
    <row r="919">
      <c r="A919" s="9" t="n">
        <v>918</v>
      </c>
      <c r="B919" s="9" t="inlineStr">
        <is>
          <t>CoinGecko</t>
        </is>
      </c>
      <c r="C919" s="9" t="inlineStr">
        <is>
          <t>Free</t>
        </is>
      </c>
      <c r="D919" s="9" t="n">
        <v>0</v>
      </c>
      <c r="E919" s="9" t="n">
        <v/>
      </c>
      <c r="F919" s="9" t="inlineStr">
        <is>
          <t>flat</t>
        </is>
      </c>
    </row>
    <row r="920">
      <c r="A920" s="9" t="n">
        <v>919</v>
      </c>
      <c r="B920" s="9" t="inlineStr">
        <is>
          <t>CoinGecko</t>
        </is>
      </c>
      <c r="C920" s="9" t="inlineStr">
        <is>
          <t>Premium</t>
        </is>
      </c>
      <c r="D920" s="9" t="n">
        <v>7.49</v>
      </c>
      <c r="E920" s="9" t="n">
        <v/>
      </c>
      <c r="F920" s="9" t="inlineStr">
        <is>
          <t>flat</t>
        </is>
      </c>
    </row>
    <row r="921">
      <c r="A921" s="9" t="n">
        <v>920</v>
      </c>
      <c r="B921" s="9" t="inlineStr">
        <is>
          <t>1inch</t>
        </is>
      </c>
      <c r="C921" s="9" t="inlineStr">
        <is>
          <t>Free (Swap)</t>
        </is>
      </c>
      <c r="D921" s="9" t="n">
        <v>0</v>
      </c>
      <c r="E921" s="9" t="n">
        <v/>
      </c>
      <c r="F921" s="9" t="inlineStr">
        <is>
          <t>flat</t>
        </is>
      </c>
    </row>
    <row r="922">
      <c r="A922" s="9" t="n">
        <v>921</v>
      </c>
      <c r="B922" s="9" t="inlineStr">
        <is>
          <t>Jupiter</t>
        </is>
      </c>
      <c r="C922" s="9" t="inlineStr">
        <is>
          <t>Free (Swap)</t>
        </is>
      </c>
      <c r="D922" s="9" t="n">
        <v>0</v>
      </c>
      <c r="E922" s="9" t="n">
        <v/>
      </c>
      <c r="F922" s="9" t="inlineStr">
        <is>
          <t>flat</t>
        </is>
      </c>
    </row>
    <row r="923">
      <c r="A923" s="9" t="n">
        <v>922</v>
      </c>
      <c r="B923" s="9" t="inlineStr">
        <is>
          <t>ParaSwap</t>
        </is>
      </c>
      <c r="C923" s="9" t="inlineStr">
        <is>
          <t>Free (Swap)</t>
        </is>
      </c>
      <c r="D923" s="9" t="n">
        <v>0</v>
      </c>
      <c r="E923" s="9" t="n">
        <v/>
      </c>
      <c r="F923" s="9" t="inlineStr">
        <is>
          <t>flat</t>
        </is>
      </c>
    </row>
    <row r="924">
      <c r="A924" s="9" t="n">
        <v>923</v>
      </c>
      <c r="B924" s="9" t="inlineStr">
        <is>
          <t>Zapper</t>
        </is>
      </c>
      <c r="C924" s="9" t="inlineStr">
        <is>
          <t>Free</t>
        </is>
      </c>
      <c r="D924" s="9" t="n">
        <v>0</v>
      </c>
      <c r="E924" s="9" t="n">
        <v/>
      </c>
      <c r="F924" s="9" t="inlineStr">
        <is>
          <t>flat</t>
        </is>
      </c>
    </row>
    <row r="925">
      <c r="A925" s="9" t="n">
        <v>924</v>
      </c>
      <c r="B925" s="9" t="inlineStr">
        <is>
          <t>DefiLlama</t>
        </is>
      </c>
      <c r="C925" s="9" t="inlineStr">
        <is>
          <t>Free</t>
        </is>
      </c>
      <c r="D925" s="9" t="n">
        <v>0</v>
      </c>
      <c r="E925" s="9" t="n">
        <v/>
      </c>
      <c r="F925" s="9" t="inlineStr">
        <is>
          <t>flat</t>
        </is>
      </c>
    </row>
    <row r="926">
      <c r="A926" s="9" t="n">
        <v>925</v>
      </c>
      <c r="B926" s="9" t="inlineStr">
        <is>
          <t>Binance</t>
        </is>
      </c>
      <c r="C926" s="9" t="inlineStr">
        <is>
          <t>Regular (VIP 0)</t>
        </is>
      </c>
      <c r="D926" s="9" t="n">
        <v>0</v>
      </c>
      <c r="E926" s="9" t="n">
        <v/>
      </c>
      <c r="F926" s="9" t="inlineStr">
        <is>
          <t>flat</t>
        </is>
      </c>
    </row>
    <row r="927">
      <c r="A927" s="9" t="n">
        <v>926</v>
      </c>
      <c r="B927" s="9" t="inlineStr">
        <is>
          <t>Binance</t>
        </is>
      </c>
      <c r="C927" s="9" t="inlineStr">
        <is>
          <t>VIP 1</t>
        </is>
      </c>
      <c r="D927" s="9" t="n">
        <v/>
      </c>
      <c r="E927" s="9" t="n">
        <v/>
      </c>
      <c r="F927" s="9" t="inlineStr">
        <is>
          <t>flat</t>
        </is>
      </c>
    </row>
    <row r="928">
      <c r="A928" s="9" t="n">
        <v>927</v>
      </c>
      <c r="B928" s="9" t="inlineStr">
        <is>
          <t>Binance</t>
        </is>
      </c>
      <c r="C928" s="9" t="inlineStr">
        <is>
          <t>VIP 2</t>
        </is>
      </c>
      <c r="D928" s="9" t="n">
        <v/>
      </c>
      <c r="E928" s="9" t="n">
        <v/>
      </c>
      <c r="F928" s="9" t="inlineStr">
        <is>
          <t>flat</t>
        </is>
      </c>
    </row>
    <row r="929">
      <c r="A929" s="9" t="n">
        <v>928</v>
      </c>
      <c r="B929" s="9" t="inlineStr">
        <is>
          <t>Coinbase</t>
        </is>
      </c>
      <c r="C929" s="9" t="inlineStr">
        <is>
          <t>Advanced Trade (Tier 1)</t>
        </is>
      </c>
      <c r="D929" s="9" t="n">
        <v>0</v>
      </c>
      <c r="E929" s="9" t="n">
        <v/>
      </c>
      <c r="F929" s="9" t="inlineStr">
        <is>
          <t>flat</t>
        </is>
      </c>
    </row>
    <row r="930">
      <c r="A930" s="9" t="n">
        <v>929</v>
      </c>
      <c r="B930" s="9" t="inlineStr">
        <is>
          <t>Coinbase</t>
        </is>
      </c>
      <c r="C930" s="9" t="inlineStr">
        <is>
          <t>Advanced Trade (Tier 2)</t>
        </is>
      </c>
      <c r="D930" s="9" t="n">
        <v>0</v>
      </c>
      <c r="E930" s="9" t="n">
        <v/>
      </c>
      <c r="F930" s="9" t="inlineStr">
        <is>
          <t>flat</t>
        </is>
      </c>
    </row>
    <row r="931">
      <c r="A931" s="9" t="n">
        <v>930</v>
      </c>
      <c r="B931" s="9" t="inlineStr">
        <is>
          <t>Coinbase</t>
        </is>
      </c>
      <c r="C931" s="9" t="inlineStr">
        <is>
          <t>Coinbase One</t>
        </is>
      </c>
      <c r="D931" s="9" t="n">
        <v>29.99</v>
      </c>
      <c r="E931" s="9" t="n">
        <v/>
      </c>
      <c r="F931" s="9" t="inlineStr">
        <is>
          <t>flat</t>
        </is>
      </c>
    </row>
    <row r="932">
      <c r="A932" s="9" t="n">
        <v>931</v>
      </c>
      <c r="B932" s="9" t="inlineStr">
        <is>
          <t>Kraken</t>
        </is>
      </c>
      <c r="C932" s="9" t="inlineStr">
        <is>
          <t>Starter (&lt;$50K)</t>
        </is>
      </c>
      <c r="D932" s="9" t="n">
        <v>0</v>
      </c>
      <c r="E932" s="9" t="n">
        <v/>
      </c>
      <c r="F932" s="9" t="inlineStr">
        <is>
          <t>flat</t>
        </is>
      </c>
    </row>
    <row r="933">
      <c r="A933" s="9" t="n">
        <v>932</v>
      </c>
      <c r="B933" s="9" t="inlineStr">
        <is>
          <t>Kraken</t>
        </is>
      </c>
      <c r="C933" s="9" t="inlineStr">
        <is>
          <t>Intermediate ($50K-$100K)</t>
        </is>
      </c>
      <c r="D933" s="9" t="n">
        <v>0</v>
      </c>
      <c r="E933" s="9" t="n">
        <v/>
      </c>
      <c r="F933" s="9" t="inlineStr">
        <is>
          <t>flat</t>
        </is>
      </c>
    </row>
    <row r="934">
      <c r="A934" s="9" t="n">
        <v>933</v>
      </c>
      <c r="B934" s="9" t="inlineStr">
        <is>
          <t>Kraken</t>
        </is>
      </c>
      <c r="C934" s="9" t="inlineStr">
        <is>
          <t>Pro (&gt;$10M)</t>
        </is>
      </c>
      <c r="D934" s="9" t="n">
        <v>0</v>
      </c>
      <c r="E934" s="9" t="n">
        <v/>
      </c>
      <c r="F934" s="9" t="inlineStr">
        <is>
          <t>flat</t>
        </is>
      </c>
    </row>
    <row r="935">
      <c r="A935" s="9" t="n">
        <v>934</v>
      </c>
      <c r="B935" s="9" t="inlineStr">
        <is>
          <t>Bybit</t>
        </is>
      </c>
      <c r="C935" s="9" t="inlineStr">
        <is>
          <t>VIP 0 (Standard)</t>
        </is>
      </c>
      <c r="D935" s="9" t="n">
        <v>0</v>
      </c>
      <c r="E935" s="9" t="n">
        <v/>
      </c>
      <c r="F935" s="9" t="inlineStr">
        <is>
          <t>flat</t>
        </is>
      </c>
    </row>
    <row r="936">
      <c r="A936" s="9" t="n">
        <v>935</v>
      </c>
      <c r="B936" s="9" t="inlineStr">
        <is>
          <t>Bybit</t>
        </is>
      </c>
      <c r="C936" s="9" t="inlineStr">
        <is>
          <t>VIP 1</t>
        </is>
      </c>
      <c r="D936" s="9" t="n">
        <v/>
      </c>
      <c r="E936" s="9" t="n">
        <v/>
      </c>
      <c r="F936" s="9" t="inlineStr">
        <is>
          <t>flat</t>
        </is>
      </c>
    </row>
    <row r="937">
      <c r="A937" s="9" t="n">
        <v>936</v>
      </c>
      <c r="B937" s="9" t="inlineStr">
        <is>
          <t>Bybit</t>
        </is>
      </c>
      <c r="C937" s="9" t="inlineStr">
        <is>
          <t>VIP 3</t>
        </is>
      </c>
      <c r="D937" s="9" t="n">
        <v/>
      </c>
      <c r="E937" s="9" t="n">
        <v/>
      </c>
      <c r="F937" s="9" t="inlineStr">
        <is>
          <t>flat</t>
        </is>
      </c>
    </row>
    <row r="938">
      <c r="A938" s="9" t="n">
        <v>937</v>
      </c>
      <c r="B938" s="9" t="inlineStr">
        <is>
          <t>OKX</t>
        </is>
      </c>
      <c r="C938" s="9" t="inlineStr">
        <is>
          <t>Level 1 (Regular)</t>
        </is>
      </c>
      <c r="D938" s="9" t="n">
        <v>0</v>
      </c>
      <c r="E938" s="9" t="n">
        <v/>
      </c>
      <c r="F938" s="9" t="inlineStr">
        <is>
          <t>flat</t>
        </is>
      </c>
    </row>
    <row r="939">
      <c r="A939" s="9" t="n">
        <v>938</v>
      </c>
      <c r="B939" s="9" t="inlineStr">
        <is>
          <t>OKX</t>
        </is>
      </c>
      <c r="C939" s="9" t="inlineStr">
        <is>
          <t>Level 2</t>
        </is>
      </c>
      <c r="D939" s="9" t="n">
        <v/>
      </c>
      <c r="E939" s="9" t="n">
        <v/>
      </c>
      <c r="F939" s="9" t="inlineStr">
        <is>
          <t>flat</t>
        </is>
      </c>
    </row>
    <row r="940">
      <c r="A940" s="9" t="n">
        <v>939</v>
      </c>
      <c r="B940" s="9" t="inlineStr">
        <is>
          <t>OKX</t>
        </is>
      </c>
      <c r="C940" s="9" t="inlineStr">
        <is>
          <t>VIP</t>
        </is>
      </c>
      <c r="D940" s="9" t="n">
        <v/>
      </c>
      <c r="E940" s="9" t="n">
        <v/>
      </c>
      <c r="F940" s="9" t="inlineStr">
        <is>
          <t>flat</t>
        </is>
      </c>
    </row>
    <row r="941">
      <c r="A941" s="9" t="n">
        <v>940</v>
      </c>
      <c r="B941" s="9" t="inlineStr">
        <is>
          <t>KuCoin</t>
        </is>
      </c>
      <c r="C941" s="9" t="inlineStr">
        <is>
          <t>Regular (Lv0)</t>
        </is>
      </c>
      <c r="D941" s="9" t="n">
        <v>0</v>
      </c>
      <c r="E941" s="9" t="n">
        <v/>
      </c>
      <c r="F941" s="9" t="inlineStr">
        <is>
          <t>flat</t>
        </is>
      </c>
    </row>
    <row r="942">
      <c r="A942" s="9" t="n">
        <v>941</v>
      </c>
      <c r="B942" s="9" t="inlineStr">
        <is>
          <t>KuCoin</t>
        </is>
      </c>
      <c r="C942" s="9" t="inlineStr">
        <is>
          <t>VIP 1</t>
        </is>
      </c>
      <c r="D942" s="9" t="n">
        <v/>
      </c>
      <c r="E942" s="9" t="n">
        <v/>
      </c>
      <c r="F942" s="9" t="inlineStr">
        <is>
          <t>flat</t>
        </is>
      </c>
    </row>
    <row r="943">
      <c r="A943" s="9" t="n">
        <v>942</v>
      </c>
      <c r="B943" s="9" t="inlineStr">
        <is>
          <t>KuCoin</t>
        </is>
      </c>
      <c r="C943" s="9" t="inlineStr">
        <is>
          <t>VIP 2+</t>
        </is>
      </c>
      <c r="D943" s="9" t="n">
        <v/>
      </c>
      <c r="E943" s="9" t="n">
        <v/>
      </c>
      <c r="F943" s="9" t="inlineStr">
        <is>
          <t>flat</t>
        </is>
      </c>
    </row>
    <row r="944">
      <c r="A944" s="9" t="n">
        <v>943</v>
      </c>
      <c r="B944" s="9" t="inlineStr">
        <is>
          <t>Gate.io</t>
        </is>
      </c>
      <c r="C944" s="9" t="inlineStr">
        <is>
          <t>Regular (Lv0)</t>
        </is>
      </c>
      <c r="D944" s="9" t="n">
        <v>0</v>
      </c>
      <c r="E944" s="9" t="n">
        <v/>
      </c>
      <c r="F944" s="9" t="inlineStr">
        <is>
          <t>flat</t>
        </is>
      </c>
    </row>
    <row r="945">
      <c r="A945" s="9" t="n">
        <v>944</v>
      </c>
      <c r="B945" s="9" t="inlineStr">
        <is>
          <t>Gate.io</t>
        </is>
      </c>
      <c r="C945" s="9" t="inlineStr">
        <is>
          <t>Lv1 (≥30 GT)</t>
        </is>
      </c>
      <c r="D945" s="9" t="n">
        <v/>
      </c>
      <c r="E945" s="9" t="n">
        <v/>
      </c>
      <c r="F945" s="9" t="inlineStr">
        <is>
          <t>flat</t>
        </is>
      </c>
    </row>
    <row r="946">
      <c r="A946" s="9" t="n">
        <v>945</v>
      </c>
      <c r="B946" s="9" t="inlineStr">
        <is>
          <t>Gate.io</t>
        </is>
      </c>
      <c r="C946" s="9" t="inlineStr">
        <is>
          <t>Lv2+</t>
        </is>
      </c>
      <c r="D946" s="9" t="n">
        <v/>
      </c>
      <c r="E946" s="9" t="n">
        <v/>
      </c>
      <c r="F946" s="9" t="inlineStr">
        <is>
          <t>flat</t>
        </is>
      </c>
    </row>
    <row r="947">
      <c r="A947" s="9" t="n">
        <v>946</v>
      </c>
      <c r="B947" s="9" t="inlineStr">
        <is>
          <t>Bitget</t>
        </is>
      </c>
      <c r="C947" s="9" t="inlineStr">
        <is>
          <t>Regular (Lv0)</t>
        </is>
      </c>
      <c r="D947" s="9" t="n">
        <v>0</v>
      </c>
      <c r="E947" s="9" t="n">
        <v/>
      </c>
      <c r="F947" s="9" t="inlineStr">
        <is>
          <t>flat</t>
        </is>
      </c>
    </row>
    <row r="948">
      <c r="A948" s="9" t="n">
        <v>947</v>
      </c>
      <c r="B948" s="9" t="inlineStr">
        <is>
          <t>Bitget</t>
        </is>
      </c>
      <c r="C948" s="9" t="inlineStr">
        <is>
          <t>VIP 1</t>
        </is>
      </c>
      <c r="D948" s="9" t="n">
        <v/>
      </c>
      <c r="E948" s="9" t="n">
        <v/>
      </c>
      <c r="F948" s="9" t="inlineStr">
        <is>
          <t>flat</t>
        </is>
      </c>
    </row>
    <row r="949">
      <c r="A949" s="9" t="n">
        <v>948</v>
      </c>
      <c r="B949" s="9" t="inlineStr">
        <is>
          <t>Bitget</t>
        </is>
      </c>
      <c r="C949" s="9" t="inlineStr">
        <is>
          <t>VIP 2</t>
        </is>
      </c>
      <c r="D949" s="9" t="n">
        <v/>
      </c>
      <c r="E949" s="9" t="n">
        <v/>
      </c>
      <c r="F949" s="9" t="inlineStr">
        <is>
          <t>flat</t>
        </is>
      </c>
    </row>
    <row r="950">
      <c r="A950" s="9" t="n">
        <v>949</v>
      </c>
      <c r="B950" s="9" t="inlineStr">
        <is>
          <t>Maestro</t>
        </is>
      </c>
      <c r="C950" s="9" t="inlineStr">
        <is>
          <t>Standard</t>
        </is>
      </c>
      <c r="D950" s="9" t="n">
        <v>0</v>
      </c>
      <c r="E950" s="9" t="n">
        <v/>
      </c>
      <c r="F950" s="9" t="inlineStr">
        <is>
          <t>flat</t>
        </is>
      </c>
    </row>
    <row r="951">
      <c r="A951" s="9" t="n">
        <v>950</v>
      </c>
      <c r="B951" s="9" t="inlineStr">
        <is>
          <t>Banana Gun</t>
        </is>
      </c>
      <c r="C951" s="9" t="inlineStr">
        <is>
          <t>Standard</t>
        </is>
      </c>
      <c r="D951" s="9" t="n">
        <v>0</v>
      </c>
      <c r="E951" s="9" t="n">
        <v/>
      </c>
      <c r="F951" s="9" t="inlineStr">
        <is>
          <t>flat</t>
        </is>
      </c>
    </row>
    <row r="952">
      <c r="A952" s="9" t="n">
        <v>951</v>
      </c>
      <c r="B952" s="9" t="inlineStr">
        <is>
          <t>BONKbot</t>
        </is>
      </c>
      <c r="C952" s="9" t="inlineStr">
        <is>
          <t>Standard</t>
        </is>
      </c>
      <c r="D952" s="9" t="n">
        <v>0</v>
      </c>
      <c r="E952" s="9" t="n">
        <v/>
      </c>
      <c r="F952" s="9" t="inlineStr">
        <is>
          <t>flat</t>
        </is>
      </c>
    </row>
    <row r="953">
      <c r="A953" s="9" t="n">
        <v>952</v>
      </c>
      <c r="B953" s="9" t="inlineStr">
        <is>
          <t>Trojan</t>
        </is>
      </c>
      <c r="C953" s="9" t="inlineStr">
        <is>
          <t>Standard</t>
        </is>
      </c>
      <c r="D953" s="9" t="n">
        <v>0</v>
      </c>
      <c r="E953" s="9" t="n">
        <v/>
      </c>
      <c r="F953" s="9" t="inlineStr">
        <is>
          <t>flat</t>
        </is>
      </c>
    </row>
    <row r="954">
      <c r="A954" s="9" t="n">
        <v>953</v>
      </c>
      <c r="B954" s="9" t="inlineStr">
        <is>
          <t>Photon</t>
        </is>
      </c>
      <c r="C954" s="9" t="inlineStr">
        <is>
          <t>Standard (0-50 SOL/day)</t>
        </is>
      </c>
      <c r="D954" s="9" t="n">
        <v>0</v>
      </c>
      <c r="E954" s="9" t="n">
        <v/>
      </c>
      <c r="F954" s="9" t="inlineStr">
        <is>
          <t>flat</t>
        </is>
      </c>
    </row>
    <row r="955">
      <c r="A955" s="9" t="n">
        <v>954</v>
      </c>
      <c r="B955" s="9" t="inlineStr">
        <is>
          <t>Photon</t>
        </is>
      </c>
      <c r="C955" s="9" t="inlineStr">
        <is>
          <t>Volume Tier (&gt;50 SOL/day)</t>
        </is>
      </c>
      <c r="D955" s="9" t="n">
        <v>0</v>
      </c>
      <c r="E955" s="9" t="n">
        <v/>
      </c>
      <c r="F955" s="9" t="inlineStr">
        <is>
          <t>flat</t>
        </is>
      </c>
    </row>
    <row r="956">
      <c r="A956" s="9" t="n">
        <v>955</v>
      </c>
      <c r="B956" s="9" t="inlineStr">
        <is>
          <t>BullX</t>
        </is>
      </c>
      <c r="C956" s="9" t="inlineStr">
        <is>
          <t>Standard</t>
        </is>
      </c>
      <c r="D956" s="9" t="n">
        <v>0</v>
      </c>
      <c r="E956" s="9" t="n">
        <v/>
      </c>
      <c r="F956" s="9" t="inlineStr">
        <is>
          <t>flat</t>
        </is>
      </c>
    </row>
    <row r="957">
      <c r="A957" s="9" t="n">
        <v>956</v>
      </c>
      <c r="B957" s="9" t="inlineStr">
        <is>
          <t>Bloom</t>
        </is>
      </c>
      <c r="C957" s="9" t="inlineStr">
        <is>
          <t>Standard</t>
        </is>
      </c>
      <c r="D957" s="9" t="n">
        <v>0</v>
      </c>
      <c r="E957" s="9" t="n">
        <v/>
      </c>
      <c r="F957" s="9" t="inlineStr">
        <is>
          <t>flat</t>
        </is>
      </c>
    </row>
    <row r="958">
      <c r="A958" s="9" t="n">
        <v>957</v>
      </c>
      <c r="B958" s="9" t="inlineStr">
        <is>
          <t>PepeBoost</t>
        </is>
      </c>
      <c r="C958" s="9" t="inlineStr">
        <is>
          <t>Standard</t>
        </is>
      </c>
      <c r="D958" s="9" t="n">
        <v>0</v>
      </c>
      <c r="E958" s="9" t="n">
        <v/>
      </c>
      <c r="F958" s="9" t="inlineStr">
        <is>
          <t>flat</t>
        </is>
      </c>
    </row>
    <row r="959">
      <c r="A959" s="9" t="n">
        <v>958</v>
      </c>
      <c r="B959" s="9" t="inlineStr">
        <is>
          <t>MetaMask</t>
        </is>
      </c>
      <c r="C959" s="9" t="inlineStr">
        <is>
          <t>Free</t>
        </is>
      </c>
      <c r="D959" s="9" t="n">
        <v>0</v>
      </c>
      <c r="E959" s="9" t="n">
        <v/>
      </c>
      <c r="F959" s="9" t="inlineStr">
        <is>
          <t>flat</t>
        </is>
      </c>
    </row>
    <row r="960">
      <c r="A960" s="9" t="n">
        <v>959</v>
      </c>
      <c r="B960" s="9" t="inlineStr">
        <is>
          <t>Phantom</t>
        </is>
      </c>
      <c r="C960" s="9" t="inlineStr">
        <is>
          <t>Free</t>
        </is>
      </c>
      <c r="D960" s="9" t="n">
        <v>0</v>
      </c>
      <c r="E960" s="9" t="n">
        <v/>
      </c>
      <c r="F960" s="9" t="inlineStr">
        <is>
          <t>flat</t>
        </is>
      </c>
    </row>
    <row r="961">
      <c r="A961" s="9" t="n">
        <v>960</v>
      </c>
      <c r="B961" s="9" t="inlineStr">
        <is>
          <t>Trust Wallet</t>
        </is>
      </c>
      <c r="C961" s="9" t="inlineStr">
        <is>
          <t>Free</t>
        </is>
      </c>
      <c r="D961" s="9" t="n">
        <v>0</v>
      </c>
      <c r="E961" s="9" t="n">
        <v/>
      </c>
      <c r="F961" s="9" t="inlineStr">
        <is>
          <t>flat</t>
        </is>
      </c>
    </row>
    <row r="962">
      <c r="A962" s="9" t="n">
        <v>961</v>
      </c>
      <c r="B962" s="9" t="inlineStr">
        <is>
          <t>Ledger</t>
        </is>
      </c>
      <c r="C962" s="9" t="inlineStr">
        <is>
          <t>Ledger Nano S Plus</t>
        </is>
      </c>
      <c r="D962" s="9" t="n">
        <v>79</v>
      </c>
      <c r="E962" s="9" t="n">
        <v/>
      </c>
      <c r="F962" s="9" t="inlineStr">
        <is>
          <t>flat</t>
        </is>
      </c>
    </row>
    <row r="963">
      <c r="A963" s="9" t="n">
        <v>962</v>
      </c>
      <c r="B963" s="9" t="inlineStr">
        <is>
          <t>Ledger</t>
        </is>
      </c>
      <c r="C963" s="9" t="inlineStr">
        <is>
          <t>Ledger Nano X</t>
        </is>
      </c>
      <c r="D963" s="9" t="n">
        <v>149</v>
      </c>
      <c r="E963" s="9" t="n">
        <v/>
      </c>
      <c r="F963" s="9" t="inlineStr">
        <is>
          <t>flat</t>
        </is>
      </c>
    </row>
    <row r="964">
      <c r="A964" s="9" t="n">
        <v>963</v>
      </c>
      <c r="B964" s="9" t="inlineStr">
        <is>
          <t>Ledger</t>
        </is>
      </c>
      <c r="C964" s="9" t="inlineStr">
        <is>
          <t>Ledger Stax</t>
        </is>
      </c>
      <c r="D964" s="9" t="n">
        <v>399</v>
      </c>
      <c r="E964" s="9" t="n">
        <v/>
      </c>
      <c r="F964" s="9" t="inlineStr">
        <is>
          <t>flat</t>
        </is>
      </c>
    </row>
    <row r="965">
      <c r="A965" s="9" t="n">
        <v>964</v>
      </c>
      <c r="B965" s="9" t="inlineStr">
        <is>
          <t>Trezor</t>
        </is>
      </c>
      <c r="C965" s="9" t="inlineStr">
        <is>
          <t>Trezor Safe 3</t>
        </is>
      </c>
      <c r="D965" s="9" t="n">
        <v>79</v>
      </c>
      <c r="E965" s="9" t="n">
        <v/>
      </c>
      <c r="F965" s="9" t="inlineStr">
        <is>
          <t>flat</t>
        </is>
      </c>
    </row>
    <row r="966">
      <c r="A966" s="9" t="n">
        <v>965</v>
      </c>
      <c r="B966" s="9" t="inlineStr">
        <is>
          <t>Trezor</t>
        </is>
      </c>
      <c r="C966" s="9" t="inlineStr">
        <is>
          <t>Trezor Safe 5</t>
        </is>
      </c>
      <c r="D966" s="9" t="n">
        <v>169</v>
      </c>
      <c r="E966" s="9" t="n">
        <v/>
      </c>
      <c r="F966" s="9" t="inlineStr">
        <is>
          <t>flat</t>
        </is>
      </c>
    </row>
    <row r="967">
      <c r="A967" s="9" t="n">
        <v>966</v>
      </c>
      <c r="B967" s="9" t="inlineStr">
        <is>
          <t>Exodus</t>
        </is>
      </c>
      <c r="C967" s="9" t="inlineStr">
        <is>
          <t>Free</t>
        </is>
      </c>
      <c r="D967" s="9" t="n">
        <v>0</v>
      </c>
      <c r="E967" s="9" t="n">
        <v/>
      </c>
      <c r="F967" s="9" t="inlineStr">
        <is>
          <t>flat</t>
        </is>
      </c>
    </row>
    <row r="968">
      <c r="A968" s="9" t="n">
        <v>967</v>
      </c>
      <c r="B968" s="9" t="inlineStr">
        <is>
          <t>Rabby Wallet</t>
        </is>
      </c>
      <c r="C968" s="9" t="inlineStr">
        <is>
          <t>Free</t>
        </is>
      </c>
      <c r="D968" s="9" t="n">
        <v>0</v>
      </c>
      <c r="E968" s="9" t="n">
        <v/>
      </c>
      <c r="F968" s="9" t="inlineStr">
        <is>
          <t>flat</t>
        </is>
      </c>
    </row>
    <row r="969">
      <c r="A969" s="9" t="n">
        <v>968</v>
      </c>
      <c r="B969" s="9" t="inlineStr">
        <is>
          <t>Coinbase Wallet</t>
        </is>
      </c>
      <c r="C969" s="9" t="inlineStr">
        <is>
          <t>Free</t>
        </is>
      </c>
      <c r="D969" s="9" t="n">
        <v>0</v>
      </c>
      <c r="E969" s="9" t="n">
        <v/>
      </c>
      <c r="F969" s="9" t="inlineStr">
        <is>
          <t>flat</t>
        </is>
      </c>
    </row>
    <row r="970">
      <c r="A970" s="9" t="n">
        <v>969</v>
      </c>
      <c r="B970" s="9" t="inlineStr">
        <is>
          <t>Uniswap</t>
        </is>
      </c>
      <c r="C970" s="9" t="inlineStr">
        <is>
          <t>Free</t>
        </is>
      </c>
      <c r="D970" s="9" t="n">
        <v>0</v>
      </c>
      <c r="E970" s="9" t="n">
        <v/>
      </c>
      <c r="F970" s="9" t="inlineStr">
        <is>
          <t>flat</t>
        </is>
      </c>
    </row>
    <row r="971">
      <c r="A971" s="9" t="n">
        <v>970</v>
      </c>
      <c r="B971" s="9" t="inlineStr">
        <is>
          <t>Uniswap</t>
        </is>
      </c>
      <c r="C971" s="9" t="inlineStr">
        <is>
          <t>0.01% Pool Fee</t>
        </is>
      </c>
      <c r="D971" s="9" t="n">
        <v>0.01</v>
      </c>
      <c r="E971" s="9" t="n">
        <v/>
      </c>
      <c r="F971" s="9" t="inlineStr">
        <is>
          <t>usage-based</t>
        </is>
      </c>
    </row>
    <row r="972">
      <c r="A972" s="9" t="n">
        <v>971</v>
      </c>
      <c r="B972" s="9" t="inlineStr">
        <is>
          <t>Uniswap</t>
        </is>
      </c>
      <c r="C972" s="9" t="inlineStr">
        <is>
          <t>0.05% Pool Fee</t>
        </is>
      </c>
      <c r="D972" s="9" t="n">
        <v>0.05</v>
      </c>
      <c r="E972" s="9" t="n">
        <v/>
      </c>
      <c r="F972" s="9" t="inlineStr">
        <is>
          <t>usage-based</t>
        </is>
      </c>
    </row>
    <row r="973">
      <c r="A973" s="9" t="n">
        <v>972</v>
      </c>
      <c r="B973" s="9" t="inlineStr">
        <is>
          <t>Uniswap</t>
        </is>
      </c>
      <c r="C973" s="9" t="inlineStr">
        <is>
          <t>0.3% Pool Fee</t>
        </is>
      </c>
      <c r="D973" s="9" t="n">
        <v>0.3</v>
      </c>
      <c r="E973" s="9" t="n">
        <v/>
      </c>
      <c r="F973" s="9" t="inlineStr">
        <is>
          <t>usage-based</t>
        </is>
      </c>
    </row>
    <row r="974">
      <c r="A974" s="9" t="n">
        <v>973</v>
      </c>
      <c r="B974" s="9" t="inlineStr">
        <is>
          <t>Uniswap</t>
        </is>
      </c>
      <c r="C974" s="9" t="inlineStr">
        <is>
          <t>1% Pool Fee</t>
        </is>
      </c>
      <c r="D974" s="9" t="n">
        <v>1</v>
      </c>
      <c r="E974" s="9" t="n">
        <v/>
      </c>
      <c r="F974" s="9" t="inlineStr">
        <is>
          <t>usage-based</t>
        </is>
      </c>
    </row>
    <row r="975">
      <c r="A975" s="9" t="n">
        <v>974</v>
      </c>
      <c r="B975" s="9" t="inlineStr">
        <is>
          <t>PancakeSwap</t>
        </is>
      </c>
      <c r="C975" s="9" t="inlineStr">
        <is>
          <t>Free</t>
        </is>
      </c>
      <c r="D975" s="9" t="n">
        <v>0</v>
      </c>
      <c r="E975" s="9" t="n">
        <v/>
      </c>
      <c r="F975" s="9" t="inlineStr">
        <is>
          <t>flat</t>
        </is>
      </c>
    </row>
    <row r="976">
      <c r="A976" s="9" t="n">
        <v>975</v>
      </c>
      <c r="B976" s="9" t="inlineStr">
        <is>
          <t>PancakeSwap</t>
        </is>
      </c>
      <c r="C976" s="9" t="inlineStr">
        <is>
          <t>0.01% Fee Tier (V3)</t>
        </is>
      </c>
      <c r="D976" s="9" t="n">
        <v>0.01</v>
      </c>
      <c r="E976" s="9" t="n">
        <v/>
      </c>
      <c r="F976" s="9" t="inlineStr">
        <is>
          <t>usage-based</t>
        </is>
      </c>
    </row>
    <row r="977">
      <c r="A977" s="9" t="n">
        <v>976</v>
      </c>
      <c r="B977" s="9" t="inlineStr">
        <is>
          <t>PancakeSwap</t>
        </is>
      </c>
      <c r="C977" s="9" t="inlineStr">
        <is>
          <t>0.05% Fee Tier (V3)</t>
        </is>
      </c>
      <c r="D977" s="9" t="n">
        <v>0.05</v>
      </c>
      <c r="E977" s="9" t="n">
        <v/>
      </c>
      <c r="F977" s="9" t="inlineStr">
        <is>
          <t>usage-based</t>
        </is>
      </c>
    </row>
    <row r="978">
      <c r="A978" s="9" t="n">
        <v>977</v>
      </c>
      <c r="B978" s="9" t="inlineStr">
        <is>
          <t>PancakeSwap</t>
        </is>
      </c>
      <c r="C978" s="9" t="inlineStr">
        <is>
          <t>0.25% Fee Tier (V2)</t>
        </is>
      </c>
      <c r="D978" s="9" t="n">
        <v>0.25</v>
      </c>
      <c r="E978" s="9" t="n">
        <v/>
      </c>
      <c r="F978" s="9" t="inlineStr">
        <is>
          <t>usage-based</t>
        </is>
      </c>
    </row>
    <row r="979">
      <c r="A979" s="9" t="n">
        <v>978</v>
      </c>
      <c r="B979" s="9" t="inlineStr">
        <is>
          <t>PancakeSwap</t>
        </is>
      </c>
      <c r="C979" s="9" t="inlineStr">
        <is>
          <t>1% Fee Tier (V3)</t>
        </is>
      </c>
      <c r="D979" s="9" t="n">
        <v>1</v>
      </c>
      <c r="E979" s="9" t="n">
        <v/>
      </c>
      <c r="F979" s="9" t="inlineStr">
        <is>
          <t>usage-based</t>
        </is>
      </c>
    </row>
    <row r="980">
      <c r="A980" s="9" t="n">
        <v>979</v>
      </c>
      <c r="B980" s="9" t="inlineStr">
        <is>
          <t>Raydium</t>
        </is>
      </c>
      <c r="C980" s="9" t="inlineStr">
        <is>
          <t>Free</t>
        </is>
      </c>
      <c r="D980" s="9" t="n">
        <v>0</v>
      </c>
      <c r="E980" s="9" t="n">
        <v/>
      </c>
      <c r="F980" s="9" t="inlineStr">
        <is>
          <t>flat</t>
        </is>
      </c>
    </row>
    <row r="981">
      <c r="A981" s="9" t="n">
        <v>980</v>
      </c>
      <c r="B981" s="9" t="inlineStr">
        <is>
          <t>Raydium</t>
        </is>
      </c>
      <c r="C981" s="9" t="inlineStr">
        <is>
          <t>Standard Pool Fee</t>
        </is>
      </c>
      <c r="D981" s="9" t="n">
        <v>0.25</v>
      </c>
      <c r="E981" s="9" t="n">
        <v/>
      </c>
      <c r="F981" s="9" t="inlineStr">
        <is>
          <t>usage-based</t>
        </is>
      </c>
    </row>
    <row r="982">
      <c r="A982" s="9" t="n">
        <v>981</v>
      </c>
      <c r="B982" s="9" t="inlineStr">
        <is>
          <t>Raydium</t>
        </is>
      </c>
      <c r="C982" s="9" t="inlineStr">
        <is>
          <t>CLMM 0.01% Tier</t>
        </is>
      </c>
      <c r="D982" s="9" t="n">
        <v>0.01</v>
      </c>
      <c r="E982" s="9" t="n">
        <v/>
      </c>
      <c r="F982" s="9" t="inlineStr">
        <is>
          <t>usage-based</t>
        </is>
      </c>
    </row>
    <row r="983">
      <c r="A983" s="9" t="n">
        <v>982</v>
      </c>
      <c r="B983" s="9" t="inlineStr">
        <is>
          <t>Raydium</t>
        </is>
      </c>
      <c r="C983" s="9" t="inlineStr">
        <is>
          <t>CLMM 0.05% Tier</t>
        </is>
      </c>
      <c r="D983" s="9" t="n">
        <v>0.05</v>
      </c>
      <c r="E983" s="9" t="n">
        <v/>
      </c>
      <c r="F983" s="9" t="inlineStr">
        <is>
          <t>usage-based</t>
        </is>
      </c>
    </row>
    <row r="984">
      <c r="A984" s="9" t="n">
        <v>983</v>
      </c>
      <c r="B984" s="9" t="inlineStr">
        <is>
          <t>Raydium</t>
        </is>
      </c>
      <c r="C984" s="9" t="inlineStr">
        <is>
          <t>CLMM 1% Tier</t>
        </is>
      </c>
      <c r="D984" s="9" t="n">
        <v>1</v>
      </c>
      <c r="E984" s="9" t="n">
        <v/>
      </c>
      <c r="F984" s="9" t="inlineStr">
        <is>
          <t>usage-based</t>
        </is>
      </c>
    </row>
    <row r="985">
      <c r="A985" s="9" t="n">
        <v>984</v>
      </c>
      <c r="B985" s="9" t="inlineStr">
        <is>
          <t>Orca</t>
        </is>
      </c>
      <c r="C985" s="9" t="inlineStr">
        <is>
          <t>Free</t>
        </is>
      </c>
      <c r="D985" s="9" t="n">
        <v>0</v>
      </c>
      <c r="E985" s="9" t="n">
        <v/>
      </c>
      <c r="F985" s="9" t="inlineStr">
        <is>
          <t>flat</t>
        </is>
      </c>
    </row>
    <row r="986">
      <c r="A986" s="9" t="n">
        <v>985</v>
      </c>
      <c r="B986" s="9" t="inlineStr">
        <is>
          <t>Orca</t>
        </is>
      </c>
      <c r="C986" s="9" t="inlineStr">
        <is>
          <t>0.01% Whirlpool Fee</t>
        </is>
      </c>
      <c r="D986" s="9" t="n">
        <v>0.01</v>
      </c>
      <c r="E986" s="9" t="n">
        <v/>
      </c>
      <c r="F986" s="9" t="inlineStr">
        <is>
          <t>usage-based</t>
        </is>
      </c>
    </row>
    <row r="987">
      <c r="A987" s="9" t="n">
        <v>986</v>
      </c>
      <c r="B987" s="9" t="inlineStr">
        <is>
          <t>Orca</t>
        </is>
      </c>
      <c r="C987" s="9" t="inlineStr">
        <is>
          <t>0.05% Whirlpool Fee</t>
        </is>
      </c>
      <c r="D987" s="9" t="n">
        <v>0.05</v>
      </c>
      <c r="E987" s="9" t="n">
        <v/>
      </c>
      <c r="F987" s="9" t="inlineStr">
        <is>
          <t>usage-based</t>
        </is>
      </c>
    </row>
    <row r="988">
      <c r="A988" s="9" t="n">
        <v>987</v>
      </c>
      <c r="B988" s="9" t="inlineStr">
        <is>
          <t>Orca</t>
        </is>
      </c>
      <c r="C988" s="9" t="inlineStr">
        <is>
          <t>0.3% Whirlpool Fee</t>
        </is>
      </c>
      <c r="D988" s="9" t="n">
        <v>0.3</v>
      </c>
      <c r="E988" s="9" t="n">
        <v/>
      </c>
      <c r="F988" s="9" t="inlineStr">
        <is>
          <t>usage-based</t>
        </is>
      </c>
    </row>
    <row r="989">
      <c r="A989" s="9" t="n">
        <v>988</v>
      </c>
      <c r="B989" s="9" t="inlineStr">
        <is>
          <t>Orca</t>
        </is>
      </c>
      <c r="C989" s="9" t="inlineStr">
        <is>
          <t>1% Whirlpool Fee</t>
        </is>
      </c>
      <c r="D989" s="9" t="n">
        <v>1</v>
      </c>
      <c r="E989" s="9" t="n">
        <v/>
      </c>
      <c r="F989" s="9" t="inlineStr">
        <is>
          <t>usage-based</t>
        </is>
      </c>
    </row>
    <row r="990">
      <c r="A990" s="9" t="n">
        <v>989</v>
      </c>
      <c r="B990" s="9" t="inlineStr">
        <is>
          <t>Curve Finance</t>
        </is>
      </c>
      <c r="C990" s="9" t="inlineStr">
        <is>
          <t>Free</t>
        </is>
      </c>
      <c r="D990" s="9" t="n">
        <v>0</v>
      </c>
      <c r="E990" s="9" t="n">
        <v/>
      </c>
      <c r="F990" s="9" t="inlineStr">
        <is>
          <t>flat</t>
        </is>
      </c>
    </row>
    <row r="991">
      <c r="A991" s="9" t="n">
        <v>990</v>
      </c>
      <c r="B991" s="9" t="inlineStr">
        <is>
          <t>Curve Finance</t>
        </is>
      </c>
      <c r="C991" s="9" t="inlineStr">
        <is>
          <t>Stablecoin Pool Fee</t>
        </is>
      </c>
      <c r="D991" s="9" t="n">
        <v>0.04</v>
      </c>
      <c r="E991" s="9" t="n">
        <v/>
      </c>
      <c r="F991" s="9" t="inlineStr">
        <is>
          <t>usage-based</t>
        </is>
      </c>
    </row>
    <row r="992">
      <c r="A992" s="9" t="n">
        <v>991</v>
      </c>
      <c r="B992" s="9" t="inlineStr">
        <is>
          <t>Curve Finance</t>
        </is>
      </c>
      <c r="C992" s="9" t="inlineStr">
        <is>
          <t>V2 Crypto Pool Fee</t>
        </is>
      </c>
      <c r="D992" s="9" t="n">
        <v>0.04</v>
      </c>
      <c r="E992" s="9" t="n">
        <v/>
      </c>
      <c r="F992" s="9" t="inlineStr">
        <is>
          <t>usage-based</t>
        </is>
      </c>
    </row>
    <row r="993">
      <c r="A993" s="9" t="n">
        <v>992</v>
      </c>
      <c r="B993" s="9" t="inlineStr">
        <is>
          <t>Curve Finance</t>
        </is>
      </c>
      <c r="C993" s="9" t="inlineStr">
        <is>
          <t>Lending Pool Fee</t>
        </is>
      </c>
      <c r="D993" s="9" t="n">
        <v>0.04</v>
      </c>
      <c r="E993" s="9" t="n">
        <v/>
      </c>
      <c r="F993" s="9" t="inlineStr">
        <is>
          <t>usage-based</t>
        </is>
      </c>
    </row>
    <row r="994">
      <c r="A994" s="9" t="n">
        <v>993</v>
      </c>
      <c r="B994" s="9" t="inlineStr">
        <is>
          <t>SushiSwap</t>
        </is>
      </c>
      <c r="C994" s="9" t="inlineStr">
        <is>
          <t>Free</t>
        </is>
      </c>
      <c r="D994" s="9" t="n">
        <v>0</v>
      </c>
      <c r="E994" s="9" t="n">
        <v/>
      </c>
      <c r="F994" s="9" t="inlineStr">
        <is>
          <t>flat</t>
        </is>
      </c>
    </row>
    <row r="995">
      <c r="A995" s="9" t="n">
        <v>994</v>
      </c>
      <c r="B995" s="9" t="inlineStr">
        <is>
          <t>SushiSwap</t>
        </is>
      </c>
      <c r="C995" s="9" t="inlineStr">
        <is>
          <t>0.3% Standard Pool (V2)</t>
        </is>
      </c>
      <c r="D995" s="9" t="n">
        <v>0.3</v>
      </c>
      <c r="E995" s="9" t="n">
        <v/>
      </c>
      <c r="F995" s="9" t="inlineStr">
        <is>
          <t>usage-based</t>
        </is>
      </c>
    </row>
    <row r="996">
      <c r="A996" s="9" t="n">
        <v>995</v>
      </c>
      <c r="B996" s="9" t="inlineStr">
        <is>
          <t>SushiSwap</t>
        </is>
      </c>
      <c r="C996" s="9" t="inlineStr">
        <is>
          <t>0.01% Concentrated (V3)</t>
        </is>
      </c>
      <c r="D996" s="9" t="n">
        <v>0.01</v>
      </c>
      <c r="E996" s="9" t="n">
        <v/>
      </c>
      <c r="F996" s="9" t="inlineStr">
        <is>
          <t>usage-based</t>
        </is>
      </c>
    </row>
    <row r="997">
      <c r="A997" s="9" t="n">
        <v>996</v>
      </c>
      <c r="B997" s="9" t="inlineStr">
        <is>
          <t>SushiSwap</t>
        </is>
      </c>
      <c r="C997" s="9" t="inlineStr">
        <is>
          <t>0.05% Concentrated (V3)</t>
        </is>
      </c>
      <c r="D997" s="9" t="n">
        <v>0.05</v>
      </c>
      <c r="E997" s="9" t="n">
        <v/>
      </c>
      <c r="F997" s="9" t="inlineStr">
        <is>
          <t>usage-based</t>
        </is>
      </c>
    </row>
    <row r="998">
      <c r="A998" s="9" t="n">
        <v>997</v>
      </c>
      <c r="B998" s="9" t="inlineStr">
        <is>
          <t>SushiSwap</t>
        </is>
      </c>
      <c r="C998" s="9" t="inlineStr">
        <is>
          <t>1% Concentrated (V3)</t>
        </is>
      </c>
      <c r="D998" s="9" t="n">
        <v>1</v>
      </c>
      <c r="E998" s="9" t="n">
        <v/>
      </c>
      <c r="F998" s="9" t="inlineStr">
        <is>
          <t>usage-based</t>
        </is>
      </c>
    </row>
    <row r="999">
      <c r="A999" s="9" t="n">
        <v>998</v>
      </c>
      <c r="B999" s="9" t="inlineStr">
        <is>
          <t>dYdX</t>
        </is>
      </c>
      <c r="C999" s="9" t="inlineStr">
        <is>
          <t>Free</t>
        </is>
      </c>
      <c r="D999" s="9" t="n">
        <v>0</v>
      </c>
      <c r="E999" s="9" t="n">
        <v/>
      </c>
      <c r="F999" s="9" t="inlineStr">
        <is>
          <t>flat</t>
        </is>
      </c>
    </row>
    <row r="1000">
      <c r="A1000" s="9" t="n">
        <v>999</v>
      </c>
      <c r="B1000" s="9" t="inlineStr">
        <is>
          <t>dYdX</t>
        </is>
      </c>
      <c r="C1000" s="9" t="inlineStr">
        <is>
          <t>Maker Fee</t>
        </is>
      </c>
      <c r="D1000" s="9" t="n">
        <v>0.02</v>
      </c>
      <c r="E1000" s="9" t="n">
        <v/>
      </c>
      <c r="F1000" s="9" t="inlineStr">
        <is>
          <t>flat</t>
        </is>
      </c>
    </row>
    <row r="1001">
      <c r="A1001" s="9" t="n">
        <v>1000</v>
      </c>
      <c r="B1001" s="9" t="inlineStr">
        <is>
          <t>dYdX</t>
        </is>
      </c>
      <c r="C1001" s="9" t="inlineStr">
        <is>
          <t>Taker Fee</t>
        </is>
      </c>
      <c r="D1001" s="9" t="n">
        <v>0.1</v>
      </c>
      <c r="E1001" s="9" t="n">
        <v/>
      </c>
      <c r="F1001" s="9" t="inlineStr">
        <is>
          <t>flat</t>
        </is>
      </c>
    </row>
    <row r="1002">
      <c r="A1002" s="9" t="n">
        <v>1001</v>
      </c>
      <c r="B1002" s="9" t="inlineStr">
        <is>
          <t>Trader Joe</t>
        </is>
      </c>
      <c r="C1002" s="9" t="inlineStr">
        <is>
          <t>Free</t>
        </is>
      </c>
      <c r="D1002" s="9" t="n">
        <v>0</v>
      </c>
      <c r="E1002" s="9" t="n">
        <v/>
      </c>
      <c r="F1002" s="9" t="inlineStr">
        <is>
          <t>flat</t>
        </is>
      </c>
    </row>
    <row r="1003">
      <c r="A1003" s="9" t="n">
        <v>1002</v>
      </c>
      <c r="B1003" s="9" t="inlineStr">
        <is>
          <t>Trader Joe</t>
        </is>
      </c>
      <c r="C1003" s="9" t="inlineStr">
        <is>
          <t>0.1% Liquidity Book Fee</t>
        </is>
      </c>
      <c r="D1003" s="9" t="n">
        <v>0.1</v>
      </c>
      <c r="E1003" s="9" t="n">
        <v/>
      </c>
      <c r="F1003" s="9" t="inlineStr">
        <is>
          <t>usage-based</t>
        </is>
      </c>
    </row>
    <row r="1004">
      <c r="A1004" s="9" t="n">
        <v>1003</v>
      </c>
      <c r="B1004" s="9" t="inlineStr">
        <is>
          <t>Trader Joe</t>
        </is>
      </c>
      <c r="C1004" s="9" t="inlineStr">
        <is>
          <t>0.2% Liquidity Book Fee</t>
        </is>
      </c>
      <c r="D1004" s="9" t="n">
        <v>0.2</v>
      </c>
      <c r="E1004" s="9" t="n">
        <v/>
      </c>
      <c r="F1004" s="9" t="inlineStr">
        <is>
          <t>usage-based</t>
        </is>
      </c>
    </row>
    <row r="1005">
      <c r="A1005" s="9" t="n">
        <v>1004</v>
      </c>
      <c r="B1005" s="9" t="inlineStr">
        <is>
          <t>Trader Joe</t>
        </is>
      </c>
      <c r="C1005" s="9" t="inlineStr">
        <is>
          <t>0.5% Liquidity Book Fee</t>
        </is>
      </c>
      <c r="D1005" s="9" t="n">
        <v>0.5</v>
      </c>
      <c r="E1005" s="9" t="n">
        <v/>
      </c>
      <c r="F1005" s="9" t="inlineStr">
        <is>
          <t>usage-based</t>
        </is>
      </c>
    </row>
    <row r="1006">
      <c r="A1006" s="9" t="n">
        <v>1005</v>
      </c>
      <c r="B1006" s="9" t="inlineStr">
        <is>
          <t>Trader Joe</t>
        </is>
      </c>
      <c r="C1006" s="9" t="inlineStr">
        <is>
          <t>Legacy V1 Pool Fee</t>
        </is>
      </c>
      <c r="D1006" s="9" t="n">
        <v>0.3</v>
      </c>
      <c r="E1006" s="9" t="n">
        <v/>
      </c>
      <c r="F1006" s="9" t="inlineStr">
        <is>
          <t>usage-based</t>
        </is>
      </c>
    </row>
    <row r="1007">
      <c r="A1007" s="9" t="n">
        <v>1006</v>
      </c>
      <c r="B1007" s="9" t="inlineStr">
        <is>
          <t>SafePal</t>
        </is>
      </c>
      <c r="C1007" s="9" t="inlineStr">
        <is>
          <t>SafePal App</t>
        </is>
      </c>
      <c r="D1007" s="9" t="n">
        <v>0</v>
      </c>
      <c r="E1007" s="9" t="n">
        <v/>
      </c>
      <c r="F1007" s="9" t="inlineStr">
        <is>
          <t>flat</t>
        </is>
      </c>
    </row>
    <row r="1008">
      <c r="A1008" s="9" t="n">
        <v>1007</v>
      </c>
      <c r="B1008" s="9" t="inlineStr">
        <is>
          <t>SafePal</t>
        </is>
      </c>
      <c r="C1008" s="9" t="inlineStr">
        <is>
          <t>SafePal X1</t>
        </is>
      </c>
      <c r="D1008" s="9" t="n">
        <v>29.99</v>
      </c>
      <c r="E1008" s="9" t="n">
        <v/>
      </c>
      <c r="F1008" s="9" t="inlineStr">
        <is>
          <t>flat</t>
        </is>
      </c>
    </row>
    <row r="1009">
      <c r="A1009" s="9" t="n">
        <v>1008</v>
      </c>
      <c r="B1009" s="9" t="inlineStr">
        <is>
          <t>SafePal</t>
        </is>
      </c>
      <c r="C1009" s="9" t="inlineStr">
        <is>
          <t>SafePal S1</t>
        </is>
      </c>
      <c r="D1009" s="9" t="n">
        <v>49.99</v>
      </c>
      <c r="E1009" s="9" t="n">
        <v/>
      </c>
      <c r="F1009" s="9" t="inlineStr">
        <is>
          <t>flat</t>
        </is>
      </c>
    </row>
    <row r="1010">
      <c r="A1010" s="9" t="n">
        <v>1009</v>
      </c>
      <c r="B1010" s="9" t="inlineStr">
        <is>
          <t>SafePal</t>
        </is>
      </c>
      <c r="C1010" s="9" t="inlineStr">
        <is>
          <t>SafePal S1 Pro</t>
        </is>
      </c>
      <c r="D1010" s="9" t="n">
        <v>79.98999999999999</v>
      </c>
      <c r="E1010" s="9" t="n">
        <v/>
      </c>
      <c r="F1010" s="9" t="inlineStr">
        <is>
          <t>flat</t>
        </is>
      </c>
    </row>
    <row r="1011">
      <c r="A1011" s="9" t="n">
        <v>1010</v>
      </c>
      <c r="B1011" s="9" t="inlineStr">
        <is>
          <t>Tangem</t>
        </is>
      </c>
      <c r="C1011" s="9" t="inlineStr">
        <is>
          <t>Tangem Wallet (2 cards)</t>
        </is>
      </c>
      <c r="D1011" s="9" t="n">
        <v>54.99</v>
      </c>
      <c r="E1011" s="9" t="n">
        <v/>
      </c>
      <c r="F1011" s="9" t="inlineStr">
        <is>
          <t>flat</t>
        </is>
      </c>
    </row>
    <row r="1012">
      <c r="A1012" s="9" t="n">
        <v>1011</v>
      </c>
      <c r="B1012" s="9" t="inlineStr">
        <is>
          <t>Tangem</t>
        </is>
      </c>
      <c r="C1012" s="9" t="inlineStr">
        <is>
          <t>Tangem Wallet (3 cards)</t>
        </is>
      </c>
      <c r="D1012" s="9" t="n">
        <v>69.98999999999999</v>
      </c>
      <c r="E1012" s="9" t="n">
        <v/>
      </c>
      <c r="F1012" s="9" t="inlineStr">
        <is>
          <t>flat</t>
        </is>
      </c>
    </row>
    <row r="1013">
      <c r="A1013" s="9" t="n">
        <v>1012</v>
      </c>
      <c r="B1013" s="9" t="inlineStr">
        <is>
          <t>Keystone</t>
        </is>
      </c>
      <c r="C1013" s="9" t="inlineStr">
        <is>
          <t>Keystone Essential</t>
        </is>
      </c>
      <c r="D1013" s="9" t="n">
        <v>99</v>
      </c>
      <c r="E1013" s="9" t="n">
        <v/>
      </c>
      <c r="F1013" s="9" t="inlineStr">
        <is>
          <t>flat</t>
        </is>
      </c>
    </row>
    <row r="1014">
      <c r="A1014" s="9" t="n">
        <v>1013</v>
      </c>
      <c r="B1014" s="9" t="inlineStr">
        <is>
          <t>Keystone</t>
        </is>
      </c>
      <c r="C1014" s="9" t="inlineStr">
        <is>
          <t>Keystone 3 Pro</t>
        </is>
      </c>
      <c r="D1014" s="9" t="n">
        <v>169</v>
      </c>
      <c r="E1014" s="9" t="n">
        <v/>
      </c>
      <c r="F1014" s="9" t="inlineStr">
        <is>
          <t>flat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>
      <c r="A1" s="7" t="inlineStr">
        <is>
          <t>category_name</t>
        </is>
      </c>
      <c r="B1" s="7" t="inlineStr">
        <is>
          <t>product_count</t>
        </is>
      </c>
      <c r="C1" s="7" t="inlineStr">
        <is>
          <t>avg_rating</t>
        </is>
      </c>
      <c r="D1" s="7" t="inlineStr">
        <is>
          <t>avg_entry_price</t>
        </is>
      </c>
      <c r="E1" s="7" t="inlineStr">
        <is>
          <t>free_tier_count</t>
        </is>
      </c>
      <c r="F1" s="7" t="inlineStr">
        <is>
          <t>free_tier_pct</t>
        </is>
      </c>
      <c r="G1" s="7" t="inlineStr">
        <is>
          <t>avg_feature_count</t>
        </is>
      </c>
    </row>
    <row r="2">
      <c r="A2" s="9" t="inlineStr">
        <is>
          <t>AI Agents</t>
        </is>
      </c>
      <c r="B2" s="9">
        <f>COUNTIF(Products!D2:D332,A2)</f>
        <v/>
      </c>
      <c r="C2" s="9">
        <f>ROUND(AVERAGEIF(Products!D2:D332,A2,Products!E2:E332),2)</f>
        <v/>
      </c>
      <c r="D2" s="9">
        <f>IFERROR(ROUND(AVERAGEIF(Products!D2:D332,A2,Products!S2:S332),2),"N/A")</f>
        <v/>
      </c>
      <c r="E2" s="9">
        <f>COUNTIFS(Products!D2:D332,A2,Products!J2:J332,TRUE)</f>
        <v/>
      </c>
      <c r="F2" s="9">
        <f>ROUND(E2/B2*100,1)</f>
        <v/>
      </c>
      <c r="G2" s="9">
        <f>ROUND(AVERAGEIF(Products!D2:D332,A2,Products!Q2:Q332),2)</f>
        <v/>
      </c>
    </row>
    <row r="3">
      <c r="A3" s="9" t="inlineStr">
        <is>
          <t>AI Assistants</t>
        </is>
      </c>
      <c r="B3" s="9">
        <f>COUNTIF(Products!D2:D332,A3)</f>
        <v/>
      </c>
      <c r="C3" s="9">
        <f>ROUND(AVERAGEIF(Products!D2:D332,A3,Products!E2:E332),2)</f>
        <v/>
      </c>
      <c r="D3" s="9">
        <f>IFERROR(ROUND(AVERAGEIF(Products!D2:D332,A3,Products!S2:S332),2),"N/A")</f>
        <v/>
      </c>
      <c r="E3" s="9">
        <f>COUNTIFS(Products!D2:D332,A3,Products!J2:J332,TRUE)</f>
        <v/>
      </c>
      <c r="F3" s="9">
        <f>ROUND(E3/B3*100,1)</f>
        <v/>
      </c>
      <c r="G3" s="9">
        <f>ROUND(AVERAGEIF(Products!D2:D332,A3,Products!Q2:Q332),2)</f>
        <v/>
      </c>
    </row>
    <row r="4">
      <c r="A4" s="9" t="inlineStr">
        <is>
          <t>AI Coding</t>
        </is>
      </c>
      <c r="B4" s="9">
        <f>COUNTIF(Products!D2:D332,A4)</f>
        <v/>
      </c>
      <c r="C4" s="9">
        <f>ROUND(AVERAGEIF(Products!D2:D332,A4,Products!E2:E332),2)</f>
        <v/>
      </c>
      <c r="D4" s="9">
        <f>IFERROR(ROUND(AVERAGEIF(Products!D2:D332,A4,Products!S2:S332),2),"N/A")</f>
        <v/>
      </c>
      <c r="E4" s="9">
        <f>COUNTIFS(Products!D2:D332,A4,Products!J2:J332,TRUE)</f>
        <v/>
      </c>
      <c r="F4" s="9">
        <f>ROUND(E4/B4*100,1)</f>
        <v/>
      </c>
      <c r="G4" s="9">
        <f>ROUND(AVERAGEIF(Products!D2:D332,A4,Products!Q2:Q332),2)</f>
        <v/>
      </c>
    </row>
    <row r="5">
      <c r="A5" s="9" t="inlineStr">
        <is>
          <t>AI Image Generators</t>
        </is>
      </c>
      <c r="B5" s="9">
        <f>COUNTIF(Products!D2:D332,A5)</f>
        <v/>
      </c>
      <c r="C5" s="9">
        <f>ROUND(AVERAGEIF(Products!D2:D332,A5,Products!E2:E332),2)</f>
        <v/>
      </c>
      <c r="D5" s="9">
        <f>IFERROR(ROUND(AVERAGEIF(Products!D2:D332,A5,Products!S2:S332),2),"N/A")</f>
        <v/>
      </c>
      <c r="E5" s="9">
        <f>COUNTIFS(Products!D2:D332,A5,Products!J2:J332,TRUE)</f>
        <v/>
      </c>
      <c r="F5" s="9">
        <f>ROUND(E5/B5*100,1)</f>
        <v/>
      </c>
      <c r="G5" s="9">
        <f>ROUND(AVERAGEIF(Products!D2:D332,A5,Products!Q2:Q332),2)</f>
        <v/>
      </c>
    </row>
    <row r="6">
      <c r="A6" s="9" t="inlineStr">
        <is>
          <t>AI Productivity</t>
        </is>
      </c>
      <c r="B6" s="9">
        <f>COUNTIF(Products!D2:D332,A6)</f>
        <v/>
      </c>
      <c r="C6" s="9">
        <f>ROUND(AVERAGEIF(Products!D2:D332,A6,Products!E2:E332),2)</f>
        <v/>
      </c>
      <c r="D6" s="9">
        <f>IFERROR(ROUND(AVERAGEIF(Products!D2:D332,A6,Products!S2:S332),2),"N/A")</f>
        <v/>
      </c>
      <c r="E6" s="9">
        <f>COUNTIFS(Products!D2:D332,A6,Products!J2:J332,TRUE)</f>
        <v/>
      </c>
      <c r="F6" s="9">
        <f>ROUND(E6/B6*100,1)</f>
        <v/>
      </c>
      <c r="G6" s="9">
        <f>ROUND(AVERAGEIF(Products!D2:D332,A6,Products!Q2:Q332),2)</f>
        <v/>
      </c>
    </row>
    <row r="7">
      <c r="A7" s="9" t="inlineStr">
        <is>
          <t>AI Video</t>
        </is>
      </c>
      <c r="B7" s="9">
        <f>COUNTIF(Products!D2:D332,A7)</f>
        <v/>
      </c>
      <c r="C7" s="9">
        <f>ROUND(AVERAGEIF(Products!D2:D332,A7,Products!E2:E332),2)</f>
        <v/>
      </c>
      <c r="D7" s="9">
        <f>IFERROR(ROUND(AVERAGEIF(Products!D2:D332,A7,Products!S2:S332),2),"N/A")</f>
        <v/>
      </c>
      <c r="E7" s="9">
        <f>COUNTIFS(Products!D2:D332,A7,Products!J2:J332,TRUE)</f>
        <v/>
      </c>
      <c r="F7" s="9">
        <f>ROUND(E7/B7*100,1)</f>
        <v/>
      </c>
      <c r="G7" s="9">
        <f>ROUND(AVERAGEIF(Products!D2:D332,A7,Products!Q2:Q332),2)</f>
        <v/>
      </c>
    </row>
    <row r="8">
      <c r="A8" s="9" t="inlineStr">
        <is>
          <t>AI Voice &amp; Audio</t>
        </is>
      </c>
      <c r="B8" s="9">
        <f>COUNTIF(Products!D2:D332,A8)</f>
        <v/>
      </c>
      <c r="C8" s="9">
        <f>ROUND(AVERAGEIF(Products!D2:D332,A8,Products!E2:E332),2)</f>
        <v/>
      </c>
      <c r="D8" s="9">
        <f>IFERROR(ROUND(AVERAGEIF(Products!D2:D332,A8,Products!S2:S332),2),"N/A")</f>
        <v/>
      </c>
      <c r="E8" s="9">
        <f>COUNTIFS(Products!D2:D332,A8,Products!J2:J332,TRUE)</f>
        <v/>
      </c>
      <c r="F8" s="9">
        <f>ROUND(E8/B8*100,1)</f>
        <v/>
      </c>
      <c r="G8" s="9">
        <f>ROUND(AVERAGEIF(Products!D2:D332,A8,Products!Q2:Q332),2)</f>
        <v/>
      </c>
    </row>
    <row r="9">
      <c r="A9" s="9" t="inlineStr">
        <is>
          <t>AI Writing</t>
        </is>
      </c>
      <c r="B9" s="9">
        <f>COUNTIF(Products!D2:D332,A9)</f>
        <v/>
      </c>
      <c r="C9" s="9">
        <f>ROUND(AVERAGEIF(Products!D2:D332,A9,Products!E2:E332),2)</f>
        <v/>
      </c>
      <c r="D9" s="9">
        <f>IFERROR(ROUND(AVERAGEIF(Products!D2:D332,A9,Products!S2:S332),2),"N/A")</f>
        <v/>
      </c>
      <c r="E9" s="9">
        <f>COUNTIFS(Products!D2:D332,A9,Products!J2:J332,TRUE)</f>
        <v/>
      </c>
      <c r="F9" s="9">
        <f>ROUND(E9/B9*100,1)</f>
        <v/>
      </c>
      <c r="G9" s="9">
        <f>ROUND(AVERAGEIF(Products!D2:D332,A9,Products!Q2:Q332),2)</f>
        <v/>
      </c>
    </row>
    <row r="10">
      <c r="A10" s="9" t="inlineStr">
        <is>
          <t>Accounting</t>
        </is>
      </c>
      <c r="B10" s="9">
        <f>COUNTIF(Products!D2:D332,A10)</f>
        <v/>
      </c>
      <c r="C10" s="9">
        <f>ROUND(AVERAGEIF(Products!D2:D332,A10,Products!E2:E332),2)</f>
        <v/>
      </c>
      <c r="D10" s="9">
        <f>IFERROR(ROUND(AVERAGEIF(Products!D2:D332,A10,Products!S2:S332),2),"N/A")</f>
        <v/>
      </c>
      <c r="E10" s="9">
        <f>COUNTIFS(Products!D2:D332,A10,Products!J2:J332,TRUE)</f>
        <v/>
      </c>
      <c r="F10" s="9">
        <f>ROUND(E10/B10*100,1)</f>
        <v/>
      </c>
      <c r="G10" s="9">
        <f>ROUND(AVERAGEIF(Products!D2:D332,A10,Products!Q2:Q332),2)</f>
        <v/>
      </c>
    </row>
    <row r="11">
      <c r="A11" s="9" t="inlineStr">
        <is>
          <t>CRM</t>
        </is>
      </c>
      <c r="B11" s="9">
        <f>COUNTIF(Products!D2:D332,A11)</f>
        <v/>
      </c>
      <c r="C11" s="9">
        <f>ROUND(AVERAGEIF(Products!D2:D332,A11,Products!E2:E332),2)</f>
        <v/>
      </c>
      <c r="D11" s="9">
        <f>IFERROR(ROUND(AVERAGEIF(Products!D2:D332,A11,Products!S2:S332),2),"N/A")</f>
        <v/>
      </c>
      <c r="E11" s="9">
        <f>COUNTIFS(Products!D2:D332,A11,Products!J2:J332,TRUE)</f>
        <v/>
      </c>
      <c r="F11" s="9">
        <f>ROUND(E11/B11*100,1)</f>
        <v/>
      </c>
      <c r="G11" s="9">
        <f>ROUND(AVERAGEIF(Products!D2:D332,A11,Products!Q2:Q332),2)</f>
        <v/>
      </c>
    </row>
    <row r="12">
      <c r="A12" s="9" t="inlineStr">
        <is>
          <t>Cloud Hosting</t>
        </is>
      </c>
      <c r="B12" s="9">
        <f>COUNTIF(Products!D2:D332,A12)</f>
        <v/>
      </c>
      <c r="C12" s="9">
        <f>ROUND(AVERAGEIF(Products!D2:D332,A12,Products!E2:E332),2)</f>
        <v/>
      </c>
      <c r="D12" s="9">
        <f>IFERROR(ROUND(AVERAGEIF(Products!D2:D332,A12,Products!S2:S332),2),"N/A")</f>
        <v/>
      </c>
      <c r="E12" s="9">
        <f>COUNTIFS(Products!D2:D332,A12,Products!J2:J332,TRUE)</f>
        <v/>
      </c>
      <c r="F12" s="9">
        <f>ROUND(E12/B12*100,1)</f>
        <v/>
      </c>
      <c r="G12" s="9">
        <f>ROUND(AVERAGEIF(Products!D2:D332,A12,Products!Q2:Q332),2)</f>
        <v/>
      </c>
    </row>
    <row r="13">
      <c r="A13" s="9" t="inlineStr">
        <is>
          <t>Crypto Analytics</t>
        </is>
      </c>
      <c r="B13" s="9">
        <f>COUNTIF(Products!D2:D332,A13)</f>
        <v/>
      </c>
      <c r="C13" s="9">
        <f>ROUND(AVERAGEIF(Products!D2:D332,A13,Products!E2:E332),2)</f>
        <v/>
      </c>
      <c r="D13" s="9">
        <f>IFERROR(ROUND(AVERAGEIF(Products!D2:D332,A13,Products!S2:S332),2),"N/A")</f>
        <v/>
      </c>
      <c r="E13" s="9">
        <f>COUNTIFS(Products!D2:D332,A13,Products!J2:J332,TRUE)</f>
        <v/>
      </c>
      <c r="F13" s="9">
        <f>ROUND(E13/B13*100,1)</f>
        <v/>
      </c>
      <c r="G13" s="9">
        <f>ROUND(AVERAGEIF(Products!D2:D332,A13,Products!Q2:Q332),2)</f>
        <v/>
      </c>
    </row>
    <row r="14">
      <c r="A14" s="9" t="inlineStr">
        <is>
          <t>Crypto Exchanges</t>
        </is>
      </c>
      <c r="B14" s="9">
        <f>COUNTIF(Products!D2:D332,A14)</f>
        <v/>
      </c>
      <c r="C14" s="9">
        <f>ROUND(AVERAGEIF(Products!D2:D332,A14,Products!E2:E332),2)</f>
        <v/>
      </c>
      <c r="D14" s="9">
        <f>IFERROR(ROUND(AVERAGEIF(Products!D2:D332,A14,Products!S2:S332),2),"N/A")</f>
        <v/>
      </c>
      <c r="E14" s="9">
        <f>COUNTIFS(Products!D2:D332,A14,Products!J2:J332,TRUE)</f>
        <v/>
      </c>
      <c r="F14" s="9">
        <f>ROUND(E14/B14*100,1)</f>
        <v/>
      </c>
      <c r="G14" s="9">
        <f>ROUND(AVERAGEIF(Products!D2:D332,A14,Products!Q2:Q332),2)</f>
        <v/>
      </c>
    </row>
    <row r="15">
      <c r="A15" s="9" t="inlineStr">
        <is>
          <t>Crypto Portfolio Trackers</t>
        </is>
      </c>
      <c r="B15" s="9">
        <f>COUNTIF(Products!D2:D332,A15)</f>
        <v/>
      </c>
      <c r="C15" s="9">
        <f>ROUND(AVERAGEIF(Products!D2:D332,A15,Products!E2:E332),2)</f>
        <v/>
      </c>
      <c r="D15" s="9">
        <f>IFERROR(ROUND(AVERAGEIF(Products!D2:D332,A15,Products!S2:S332),2),"N/A")</f>
        <v/>
      </c>
      <c r="E15" s="9">
        <f>COUNTIFS(Products!D2:D332,A15,Products!J2:J332,TRUE)</f>
        <v/>
      </c>
      <c r="F15" s="9">
        <f>ROUND(E15/B15*100,1)</f>
        <v/>
      </c>
      <c r="G15" s="9">
        <f>ROUND(AVERAGEIF(Products!D2:D332,A15,Products!Q2:Q332),2)</f>
        <v/>
      </c>
    </row>
    <row r="16">
      <c r="A16" s="9" t="inlineStr">
        <is>
          <t>Crypto Tax</t>
        </is>
      </c>
      <c r="B16" s="9">
        <f>COUNTIF(Products!D2:D332,A16)</f>
        <v/>
      </c>
      <c r="C16" s="9">
        <f>ROUND(AVERAGEIF(Products!D2:D332,A16,Products!E2:E332),2)</f>
        <v/>
      </c>
      <c r="D16" s="9">
        <f>IFERROR(ROUND(AVERAGEIF(Products!D2:D332,A16,Products!S2:S332),2),"N/A")</f>
        <v/>
      </c>
      <c r="E16" s="9">
        <f>COUNTIFS(Products!D2:D332,A16,Products!J2:J332,TRUE)</f>
        <v/>
      </c>
      <c r="F16" s="9">
        <f>ROUND(E16/B16*100,1)</f>
        <v/>
      </c>
      <c r="G16" s="9">
        <f>ROUND(AVERAGEIF(Products!D2:D332,A16,Products!Q2:Q332),2)</f>
        <v/>
      </c>
    </row>
    <row r="17">
      <c r="A17" s="9" t="inlineStr">
        <is>
          <t>Crypto Telegram Bots</t>
        </is>
      </c>
      <c r="B17" s="9">
        <f>COUNTIF(Products!D2:D332,A17)</f>
        <v/>
      </c>
      <c r="C17" s="9">
        <f>ROUND(AVERAGEIF(Products!D2:D332,A17,Products!E2:E332),2)</f>
        <v/>
      </c>
      <c r="D17" s="9">
        <f>IFERROR(ROUND(AVERAGEIF(Products!D2:D332,A17,Products!S2:S332),2),"N/A")</f>
        <v/>
      </c>
      <c r="E17" s="9">
        <f>COUNTIFS(Products!D2:D332,A17,Products!J2:J332,TRUE)</f>
        <v/>
      </c>
      <c r="F17" s="9">
        <f>ROUND(E17/B17*100,1)</f>
        <v/>
      </c>
      <c r="G17" s="9">
        <f>ROUND(AVERAGEIF(Products!D2:D332,A17,Products!Q2:Q332),2)</f>
        <v/>
      </c>
    </row>
    <row r="18">
      <c r="A18" s="9" t="inlineStr">
        <is>
          <t>Crypto Trading Bots</t>
        </is>
      </c>
      <c r="B18" s="9">
        <f>COUNTIF(Products!D2:D332,A18)</f>
        <v/>
      </c>
      <c r="C18" s="9">
        <f>ROUND(AVERAGEIF(Products!D2:D332,A18,Products!E2:E332),2)</f>
        <v/>
      </c>
      <c r="D18" s="9">
        <f>IFERROR(ROUND(AVERAGEIF(Products!D2:D332,A18,Products!S2:S332),2),"N/A")</f>
        <v/>
      </c>
      <c r="E18" s="9">
        <f>COUNTIFS(Products!D2:D332,A18,Products!J2:J332,TRUE)</f>
        <v/>
      </c>
      <c r="F18" s="9">
        <f>ROUND(E18/B18*100,1)</f>
        <v/>
      </c>
      <c r="G18" s="9">
        <f>ROUND(AVERAGEIF(Products!D2:D332,A18,Products!Q2:Q332),2)</f>
        <v/>
      </c>
    </row>
    <row r="19">
      <c r="A19" s="9" t="inlineStr">
        <is>
          <t>Crypto Wallets</t>
        </is>
      </c>
      <c r="B19" s="9">
        <f>COUNTIF(Products!D2:D332,A19)</f>
        <v/>
      </c>
      <c r="C19" s="9">
        <f>ROUND(AVERAGEIF(Products!D2:D332,A19,Products!E2:E332),2)</f>
        <v/>
      </c>
      <c r="D19" s="9">
        <f>IFERROR(ROUND(AVERAGEIF(Products!D2:D332,A19,Products!S2:S332),2),"N/A")</f>
        <v/>
      </c>
      <c r="E19" s="9">
        <f>COUNTIFS(Products!D2:D332,A19,Products!J2:J332,TRUE)</f>
        <v/>
      </c>
      <c r="F19" s="9">
        <f>ROUND(E19/B19*100,1)</f>
        <v/>
      </c>
      <c r="G19" s="9">
        <f>ROUND(AVERAGEIF(Products!D2:D332,A19,Products!Q2:Q332),2)</f>
        <v/>
      </c>
    </row>
    <row r="20">
      <c r="A20" s="9" t="inlineStr">
        <is>
          <t>DEX</t>
        </is>
      </c>
      <c r="B20" s="9">
        <f>COUNTIF(Products!D2:D332,A20)</f>
        <v/>
      </c>
      <c r="C20" s="9">
        <f>ROUND(AVERAGEIF(Products!D2:D332,A20,Products!E2:E332),2)</f>
        <v/>
      </c>
      <c r="D20" s="9">
        <f>IFERROR(ROUND(AVERAGEIF(Products!D2:D332,A20,Products!S2:S332),2),"N/A")</f>
        <v/>
      </c>
      <c r="E20" s="9">
        <f>COUNTIFS(Products!D2:D332,A20,Products!J2:J332,TRUE)</f>
        <v/>
      </c>
      <c r="F20" s="9">
        <f>ROUND(E20/B20*100,1)</f>
        <v/>
      </c>
      <c r="G20" s="9">
        <f>ROUND(AVERAGEIF(Products!D2:D332,A20,Products!Q2:Q332),2)</f>
        <v/>
      </c>
    </row>
    <row r="21">
      <c r="A21" s="9" t="inlineStr">
        <is>
          <t>DeFi Tools</t>
        </is>
      </c>
      <c r="B21" s="9">
        <f>COUNTIF(Products!D2:D332,A21)</f>
        <v/>
      </c>
      <c r="C21" s="9">
        <f>ROUND(AVERAGEIF(Products!D2:D332,A21,Products!E2:E332),2)</f>
        <v/>
      </c>
      <c r="D21" s="9">
        <f>IFERROR(ROUND(AVERAGEIF(Products!D2:D332,A21,Products!S2:S332),2),"N/A")</f>
        <v/>
      </c>
      <c r="E21" s="9">
        <f>COUNTIFS(Products!D2:D332,A21,Products!J2:J332,TRUE)</f>
        <v/>
      </c>
      <c r="F21" s="9">
        <f>ROUND(E21/B21*100,1)</f>
        <v/>
      </c>
      <c r="G21" s="9">
        <f>ROUND(AVERAGEIF(Products!D2:D332,A21,Products!Q2:Q332),2)</f>
        <v/>
      </c>
    </row>
    <row r="22">
      <c r="A22" s="9" t="inlineStr">
        <is>
          <t>Design Tools</t>
        </is>
      </c>
      <c r="B22" s="9">
        <f>COUNTIF(Products!D2:D332,A22)</f>
        <v/>
      </c>
      <c r="C22" s="9">
        <f>ROUND(AVERAGEIF(Products!D2:D332,A22,Products!E2:E332),2)</f>
        <v/>
      </c>
      <c r="D22" s="9">
        <f>IFERROR(ROUND(AVERAGEIF(Products!D2:D332,A22,Products!S2:S332),2),"N/A")</f>
        <v/>
      </c>
      <c r="E22" s="9">
        <f>COUNTIFS(Products!D2:D332,A22,Products!J2:J332,TRUE)</f>
        <v/>
      </c>
      <c r="F22" s="9">
        <f>ROUND(E22/B22*100,1)</f>
        <v/>
      </c>
      <c r="G22" s="9">
        <f>ROUND(AVERAGEIF(Products!D2:D332,A22,Products!Q2:Q332),2)</f>
        <v/>
      </c>
    </row>
    <row r="23">
      <c r="A23" s="9" t="inlineStr">
        <is>
          <t>Email Marketing</t>
        </is>
      </c>
      <c r="B23" s="9">
        <f>COUNTIF(Products!D2:D332,A23)</f>
        <v/>
      </c>
      <c r="C23" s="9">
        <f>ROUND(AVERAGEIF(Products!D2:D332,A23,Products!E2:E332),2)</f>
        <v/>
      </c>
      <c r="D23" s="9">
        <f>IFERROR(ROUND(AVERAGEIF(Products!D2:D332,A23,Products!S2:S332),2),"N/A")</f>
        <v/>
      </c>
      <c r="E23" s="9">
        <f>COUNTIFS(Products!D2:D332,A23,Products!J2:J332,TRUE)</f>
        <v/>
      </c>
      <c r="F23" s="9">
        <f>ROUND(E23/B23*100,1)</f>
        <v/>
      </c>
      <c r="G23" s="9">
        <f>ROUND(AVERAGEIF(Products!D2:D332,A23,Products!Q2:Q332),2)</f>
        <v/>
      </c>
    </row>
    <row r="24">
      <c r="A24" s="9" t="inlineStr">
        <is>
          <t>Large Language Models</t>
        </is>
      </c>
      <c r="B24" s="9">
        <f>COUNTIF(Products!D2:D332,A24)</f>
        <v/>
      </c>
      <c r="C24" s="9">
        <f>ROUND(AVERAGEIF(Products!D2:D332,A24,Products!E2:E332),2)</f>
        <v/>
      </c>
      <c r="D24" s="9">
        <f>IFERROR(ROUND(AVERAGEIF(Products!D2:D332,A24,Products!S2:S332),2),"N/A")</f>
        <v/>
      </c>
      <c r="E24" s="9">
        <f>COUNTIFS(Products!D2:D332,A24,Products!J2:J332,TRUE)</f>
        <v/>
      </c>
      <c r="F24" s="9">
        <f>ROUND(E24/B24*100,1)</f>
        <v/>
      </c>
      <c r="G24" s="9">
        <f>ROUND(AVERAGEIF(Products!D2:D332,A24,Products!Q2:Q332),2)</f>
        <v/>
      </c>
    </row>
    <row r="25">
      <c r="A25" s="9" t="inlineStr">
        <is>
          <t>Password Managers</t>
        </is>
      </c>
      <c r="B25" s="9">
        <f>COUNTIF(Products!D2:D332,A25)</f>
        <v/>
      </c>
      <c r="C25" s="9">
        <f>ROUND(AVERAGEIF(Products!D2:D332,A25,Products!E2:E332),2)</f>
        <v/>
      </c>
      <c r="D25" s="9">
        <f>IFERROR(ROUND(AVERAGEIF(Products!D2:D332,A25,Products!S2:S332),2),"N/A")</f>
        <v/>
      </c>
      <c r="E25" s="9">
        <f>COUNTIFS(Products!D2:D332,A25,Products!J2:J332,TRUE)</f>
        <v/>
      </c>
      <c r="F25" s="9">
        <f>ROUND(E25/B25*100,1)</f>
        <v/>
      </c>
      <c r="G25" s="9">
        <f>ROUND(AVERAGEIF(Products!D2:D332,A25,Products!Q2:Q332),2)</f>
        <v/>
      </c>
    </row>
    <row r="26">
      <c r="A26" s="9" t="inlineStr">
        <is>
          <t>Project Management</t>
        </is>
      </c>
      <c r="B26" s="9">
        <f>COUNTIF(Products!D2:D332,A26)</f>
        <v/>
      </c>
      <c r="C26" s="9">
        <f>ROUND(AVERAGEIF(Products!D2:D332,A26,Products!E2:E332),2)</f>
        <v/>
      </c>
      <c r="D26" s="9">
        <f>IFERROR(ROUND(AVERAGEIF(Products!D2:D332,A26,Products!S2:S332),2),"N/A")</f>
        <v/>
      </c>
      <c r="E26" s="9">
        <f>COUNTIFS(Products!D2:D332,A26,Products!J2:J332,TRUE)</f>
        <v/>
      </c>
      <c r="F26" s="9">
        <f>ROUND(E26/B26*100,1)</f>
        <v/>
      </c>
      <c r="G26" s="9">
        <f>ROUND(AVERAGEIF(Products!D2:D332,A26,Products!Q2:Q332),2)</f>
        <v/>
      </c>
    </row>
    <row r="27">
      <c r="A27" s="9" t="inlineStr">
        <is>
          <t>VPN</t>
        </is>
      </c>
      <c r="B27" s="9">
        <f>COUNTIF(Products!D2:D332,A27)</f>
        <v/>
      </c>
      <c r="C27" s="9">
        <f>ROUND(AVERAGEIF(Products!D2:D332,A27,Products!E2:E332),2)</f>
        <v/>
      </c>
      <c r="D27" s="9">
        <f>IFERROR(ROUND(AVERAGEIF(Products!D2:D332,A27,Products!S2:S332),2),"N/A")</f>
        <v/>
      </c>
      <c r="E27" s="9">
        <f>COUNTIFS(Products!D2:D332,A27,Products!J2:J332,TRUE)</f>
        <v/>
      </c>
      <c r="F27" s="9">
        <f>ROUND(E27/B27*100,1)</f>
        <v/>
      </c>
      <c r="G27" s="9">
        <f>ROUND(AVERAGEIF(Products!D2:D332,A27,Products!Q2:Q332),2)</f>
        <v/>
      </c>
    </row>
    <row r="28">
      <c r="A28" s="9" t="inlineStr">
        <is>
          <t>Video Conferencing</t>
        </is>
      </c>
      <c r="B28" s="9">
        <f>COUNTIF(Products!D2:D332,A28)</f>
        <v/>
      </c>
      <c r="C28" s="9">
        <f>ROUND(AVERAGEIF(Products!D2:D332,A28,Products!E2:E332),2)</f>
        <v/>
      </c>
      <c r="D28" s="9">
        <f>IFERROR(ROUND(AVERAGEIF(Products!D2:D332,A28,Products!S2:S332),2),"N/A")</f>
        <v/>
      </c>
      <c r="E28" s="9">
        <f>COUNTIFS(Products!D2:D332,A28,Products!J2:J332,TRUE)</f>
        <v/>
      </c>
      <c r="F28" s="9">
        <f>ROUND(E28/B28*100,1)</f>
        <v/>
      </c>
      <c r="G28" s="9">
        <f>ROUND(AVERAGEIF(Products!D2:D332,A28,Products!Q2:Q332),2)</f>
        <v/>
      </c>
    </row>
    <row r="29">
      <c r="A29" s="9" t="inlineStr">
        <is>
          <t>Website Builders</t>
        </is>
      </c>
      <c r="B29" s="9">
        <f>COUNTIF(Products!D2:D332,A29)</f>
        <v/>
      </c>
      <c r="C29" s="9">
        <f>ROUND(AVERAGEIF(Products!D2:D332,A29,Products!E2:E332),2)</f>
        <v/>
      </c>
      <c r="D29" s="9">
        <f>IFERROR(ROUND(AVERAGEIF(Products!D2:D332,A29,Products!S2:S332),2),"N/A")</f>
        <v/>
      </c>
      <c r="E29" s="9">
        <f>COUNTIFS(Products!D2:D332,A29,Products!J2:J332,TRUE)</f>
        <v/>
      </c>
      <c r="F29" s="9">
        <f>ROUND(E29/B29*100,1)</f>
        <v/>
      </c>
      <c r="G29" s="9">
        <f>ROUND(AVERAGEIF(Products!D2:D332,A29,Products!Q2:Q332),2)</f>
        <v/>
      </c>
    </row>
    <row r="31">
      <c r="A31" s="2" t="inlineStr">
        <is>
          <t>Note: 'DEX' avg_entry_price shows N/A — its listed prices are swap-fee %, not USD/month subscriptions.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7" t="inlineStr">
        <is>
          <t>billing_model</t>
        </is>
      </c>
      <c r="B1" s="7" t="inlineStr">
        <is>
          <t>plan_count</t>
        </is>
      </c>
      <c r="C1" s="7" t="inlineStr">
        <is>
          <t>pct_of_plans</t>
        </is>
      </c>
    </row>
    <row r="2">
      <c r="A2" s="9" t="inlineStr">
        <is>
          <t>flat</t>
        </is>
      </c>
      <c r="B2" s="9">
        <f>COUNTIF('Pricing Plans'!F2:F1014,A2)</f>
        <v/>
      </c>
      <c r="C2" s="9">
        <f>ROUND(B2/SUM($B$2:$B$5)*100,1)</f>
        <v/>
      </c>
    </row>
    <row r="3">
      <c r="A3" s="9" t="inlineStr">
        <is>
          <t>per-seat</t>
        </is>
      </c>
      <c r="B3" s="9">
        <f>COUNTIF('Pricing Plans'!F2:F1014,A3)</f>
        <v/>
      </c>
      <c r="C3" s="9">
        <f>ROUND(B3/SUM($B$2:$B$5)*100,1)</f>
        <v/>
      </c>
    </row>
    <row r="4">
      <c r="A4" s="9" t="inlineStr">
        <is>
          <t>usage-based</t>
        </is>
      </c>
      <c r="B4" s="9">
        <f>COUNTIF('Pricing Plans'!F2:F1014,A4)</f>
        <v/>
      </c>
      <c r="C4" s="9">
        <f>ROUND(B4/SUM($B$2:$B$5)*100,1)</f>
        <v/>
      </c>
    </row>
    <row r="5">
      <c r="A5" s="9" t="inlineStr">
        <is>
          <t>per-project</t>
        </is>
      </c>
      <c r="B5" s="9">
        <f>COUNTIF('Pricing Plans'!F2:F1014,A5)</f>
        <v/>
      </c>
      <c r="C5" s="9">
        <f>ROUND(B5/SUM($B$2:$B$5)*100,1)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2026-08-20T01:02:11Z</dcterms:created>
  <dcterms:modified xsi:type="dcterms:W3CDTF">2026-08-20T01:02:11Z</dcterms:modified>
</cp:coreProperties>
</file>